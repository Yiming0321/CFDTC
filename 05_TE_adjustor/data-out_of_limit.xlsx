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E:\python\code4xym\YM_supperGirl\SI-Code_Dataset_上交版\05_TE_adjustor\"/>
    </mc:Choice>
  </mc:AlternateContent>
  <xr:revisionPtr revIDLastSave="0" documentId="13_ncr:1_{2D2B204B-A614-43F3-ADD6-A9793A4F1149}" xr6:coauthVersionLast="47" xr6:coauthVersionMax="47" xr10:uidLastSave="{00000000-0000-0000-0000-000000000000}"/>
  <bookViews>
    <workbookView xWindow="28680" yWindow="-90" windowWidth="29040" windowHeight="15720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41" i="1" l="1"/>
  <c r="D241" i="1"/>
  <c r="C241" i="1"/>
  <c r="B241" i="1"/>
  <c r="E240" i="1"/>
  <c r="D240" i="1"/>
  <c r="C240" i="1"/>
  <c r="B240" i="1"/>
  <c r="E239" i="1"/>
  <c r="D239" i="1"/>
  <c r="C239" i="1"/>
  <c r="B239" i="1"/>
  <c r="E238" i="1"/>
  <c r="D238" i="1"/>
  <c r="C238" i="1"/>
  <c r="B238" i="1"/>
  <c r="E237" i="1"/>
  <c r="D237" i="1"/>
  <c r="C237" i="1"/>
  <c r="B237" i="1"/>
  <c r="E236" i="1"/>
  <c r="D236" i="1"/>
  <c r="C236" i="1"/>
  <c r="B236" i="1"/>
  <c r="E235" i="1"/>
  <c r="D235" i="1"/>
  <c r="C235" i="1"/>
  <c r="B235" i="1"/>
  <c r="E234" i="1"/>
  <c r="D234" i="1"/>
  <c r="C234" i="1"/>
  <c r="B234" i="1"/>
  <c r="E233" i="1"/>
  <c r="D233" i="1"/>
  <c r="C233" i="1"/>
  <c r="B233" i="1"/>
  <c r="E232" i="1"/>
  <c r="D232" i="1"/>
  <c r="C232" i="1"/>
  <c r="B232" i="1"/>
  <c r="E231" i="1"/>
  <c r="D231" i="1"/>
  <c r="C231" i="1"/>
  <c r="B231" i="1"/>
  <c r="E230" i="1"/>
  <c r="D230" i="1"/>
  <c r="C230" i="1"/>
  <c r="B230" i="1"/>
  <c r="E229" i="1"/>
  <c r="D229" i="1"/>
  <c r="C229" i="1"/>
  <c r="B229" i="1"/>
  <c r="E228" i="1"/>
  <c r="D228" i="1"/>
  <c r="C228" i="1"/>
  <c r="B228" i="1"/>
  <c r="E227" i="1"/>
  <c r="D227" i="1"/>
  <c r="C227" i="1"/>
  <c r="B227" i="1"/>
  <c r="E226" i="1"/>
  <c r="D226" i="1"/>
  <c r="C226" i="1"/>
  <c r="B226" i="1"/>
  <c r="E225" i="1"/>
  <c r="D225" i="1"/>
  <c r="C225" i="1"/>
  <c r="B225" i="1"/>
  <c r="E224" i="1"/>
  <c r="D224" i="1"/>
  <c r="C224" i="1"/>
  <c r="B224" i="1"/>
  <c r="E223" i="1"/>
  <c r="D223" i="1"/>
  <c r="C223" i="1"/>
  <c r="B223" i="1"/>
  <c r="E222" i="1"/>
  <c r="D222" i="1"/>
  <c r="C222" i="1"/>
  <c r="B222" i="1"/>
  <c r="E221" i="1"/>
  <c r="D221" i="1"/>
  <c r="C221" i="1"/>
  <c r="B221" i="1"/>
  <c r="E220" i="1"/>
  <c r="D220" i="1"/>
  <c r="C220" i="1"/>
  <c r="B220" i="1"/>
  <c r="E219" i="1"/>
  <c r="D219" i="1"/>
  <c r="C219" i="1"/>
  <c r="B219" i="1"/>
  <c r="E218" i="1"/>
  <c r="D218" i="1"/>
  <c r="C218" i="1"/>
  <c r="B218" i="1"/>
  <c r="E217" i="1"/>
  <c r="D217" i="1"/>
  <c r="C217" i="1"/>
  <c r="B217" i="1"/>
  <c r="E216" i="1"/>
  <c r="D216" i="1"/>
  <c r="C216" i="1"/>
  <c r="B216" i="1"/>
  <c r="E215" i="1"/>
  <c r="D215" i="1"/>
  <c r="C215" i="1"/>
  <c r="B215" i="1"/>
  <c r="E214" i="1"/>
  <c r="D214" i="1"/>
  <c r="C214" i="1"/>
  <c r="B214" i="1"/>
  <c r="E213" i="1"/>
  <c r="D213" i="1"/>
  <c r="C213" i="1"/>
  <c r="B213" i="1"/>
  <c r="E212" i="1"/>
  <c r="D212" i="1"/>
  <c r="C212" i="1"/>
  <c r="B212" i="1"/>
  <c r="E211" i="1"/>
  <c r="D211" i="1"/>
  <c r="C211" i="1"/>
  <c r="B211" i="1"/>
  <c r="E210" i="1"/>
  <c r="D210" i="1"/>
  <c r="C210" i="1"/>
  <c r="B210" i="1"/>
  <c r="E209" i="1"/>
  <c r="D209" i="1"/>
  <c r="C209" i="1"/>
  <c r="B209" i="1"/>
  <c r="E208" i="1"/>
  <c r="D208" i="1"/>
  <c r="C208" i="1"/>
  <c r="B208" i="1"/>
  <c r="E207" i="1"/>
  <c r="D207" i="1"/>
  <c r="C207" i="1"/>
  <c r="B207" i="1"/>
  <c r="E206" i="1"/>
  <c r="D206" i="1"/>
  <c r="C206" i="1"/>
  <c r="B206" i="1"/>
  <c r="E205" i="1"/>
  <c r="D205" i="1"/>
  <c r="C205" i="1"/>
  <c r="B205" i="1"/>
  <c r="E204" i="1"/>
  <c r="D204" i="1"/>
  <c r="C204" i="1"/>
  <c r="B204" i="1"/>
  <c r="E203" i="1"/>
  <c r="D203" i="1"/>
  <c r="C203" i="1"/>
  <c r="B203" i="1"/>
  <c r="E202" i="1"/>
  <c r="D202" i="1"/>
  <c r="C202" i="1"/>
  <c r="B202" i="1"/>
  <c r="E201" i="1"/>
  <c r="D201" i="1"/>
  <c r="C201" i="1"/>
  <c r="B201" i="1"/>
  <c r="E200" i="1"/>
  <c r="D200" i="1"/>
  <c r="C200" i="1"/>
  <c r="B200" i="1"/>
  <c r="E199" i="1"/>
  <c r="D199" i="1"/>
  <c r="C199" i="1"/>
  <c r="B199" i="1"/>
  <c r="E198" i="1"/>
  <c r="D198" i="1"/>
  <c r="C198" i="1"/>
  <c r="B198" i="1"/>
  <c r="E197" i="1"/>
  <c r="D197" i="1"/>
  <c r="C197" i="1"/>
  <c r="B197" i="1"/>
  <c r="E196" i="1"/>
  <c r="D196" i="1"/>
  <c r="C196" i="1"/>
  <c r="B196" i="1"/>
  <c r="E195" i="1"/>
  <c r="D195" i="1"/>
  <c r="C195" i="1"/>
  <c r="B195" i="1"/>
  <c r="E194" i="1"/>
  <c r="D194" i="1"/>
  <c r="C194" i="1"/>
  <c r="B194" i="1"/>
  <c r="E193" i="1"/>
  <c r="D193" i="1"/>
  <c r="C193" i="1"/>
  <c r="B193" i="1"/>
  <c r="E192" i="1"/>
  <c r="D192" i="1"/>
  <c r="C192" i="1"/>
  <c r="B192" i="1"/>
  <c r="E191" i="1"/>
  <c r="D191" i="1"/>
  <c r="C191" i="1"/>
  <c r="B191" i="1"/>
  <c r="E190" i="1"/>
  <c r="D190" i="1"/>
  <c r="C190" i="1"/>
  <c r="B190" i="1"/>
  <c r="E189" i="1"/>
  <c r="D189" i="1"/>
  <c r="C189" i="1"/>
  <c r="B189" i="1"/>
  <c r="E188" i="1"/>
  <c r="D188" i="1"/>
  <c r="C188" i="1"/>
  <c r="B188" i="1"/>
  <c r="E187" i="1"/>
  <c r="D187" i="1"/>
  <c r="C187" i="1"/>
  <c r="B187" i="1"/>
  <c r="E186" i="1"/>
  <c r="D186" i="1"/>
  <c r="C186" i="1"/>
  <c r="B186" i="1"/>
  <c r="E185" i="1"/>
  <c r="D185" i="1"/>
  <c r="C185" i="1"/>
  <c r="B185" i="1"/>
  <c r="E184" i="1"/>
  <c r="D184" i="1"/>
  <c r="C184" i="1"/>
  <c r="B184" i="1"/>
  <c r="E183" i="1"/>
  <c r="D183" i="1"/>
  <c r="C183" i="1"/>
  <c r="B183" i="1"/>
  <c r="E182" i="1"/>
  <c r="D182" i="1"/>
  <c r="C182" i="1"/>
  <c r="B182" i="1"/>
  <c r="E181" i="1"/>
  <c r="D181" i="1"/>
  <c r="C181" i="1"/>
  <c r="B181" i="1"/>
  <c r="E180" i="1"/>
  <c r="D180" i="1"/>
  <c r="C180" i="1"/>
  <c r="B180" i="1"/>
  <c r="E179" i="1"/>
  <c r="D179" i="1"/>
  <c r="C179" i="1"/>
  <c r="B179" i="1"/>
  <c r="E178" i="1"/>
  <c r="D178" i="1"/>
  <c r="C178" i="1"/>
  <c r="B178" i="1"/>
  <c r="E177" i="1"/>
  <c r="D177" i="1"/>
  <c r="C177" i="1"/>
  <c r="B177" i="1"/>
  <c r="E176" i="1"/>
  <c r="D176" i="1"/>
  <c r="C176" i="1"/>
  <c r="B176" i="1"/>
  <c r="E175" i="1"/>
  <c r="D175" i="1"/>
  <c r="C175" i="1"/>
  <c r="B175" i="1"/>
  <c r="E174" i="1"/>
  <c r="D174" i="1"/>
  <c r="C174" i="1"/>
  <c r="B174" i="1"/>
  <c r="E173" i="1"/>
  <c r="D173" i="1"/>
  <c r="C173" i="1"/>
  <c r="B173" i="1"/>
  <c r="E172" i="1"/>
  <c r="D172" i="1"/>
  <c r="C172" i="1"/>
  <c r="B172" i="1"/>
  <c r="E171" i="1"/>
  <c r="D171" i="1"/>
  <c r="C171" i="1"/>
  <c r="B171" i="1"/>
  <c r="E170" i="1"/>
  <c r="D170" i="1"/>
  <c r="C170" i="1"/>
  <c r="B170" i="1"/>
  <c r="E169" i="1"/>
  <c r="D169" i="1"/>
  <c r="C169" i="1"/>
  <c r="B169" i="1"/>
  <c r="E168" i="1"/>
  <c r="D168" i="1"/>
  <c r="C168" i="1"/>
  <c r="B168" i="1"/>
  <c r="E167" i="1"/>
  <c r="D167" i="1"/>
  <c r="C167" i="1"/>
  <c r="B167" i="1"/>
  <c r="E166" i="1"/>
  <c r="D166" i="1"/>
  <c r="C166" i="1"/>
  <c r="B166" i="1"/>
  <c r="E165" i="1"/>
  <c r="D165" i="1"/>
  <c r="C165" i="1"/>
  <c r="B165" i="1"/>
  <c r="E164" i="1"/>
  <c r="D164" i="1"/>
  <c r="C164" i="1"/>
  <c r="B164" i="1"/>
  <c r="E163" i="1"/>
  <c r="D163" i="1"/>
  <c r="C163" i="1"/>
  <c r="B163" i="1"/>
  <c r="E162" i="1"/>
  <c r="D162" i="1"/>
  <c r="C162" i="1"/>
  <c r="B162" i="1"/>
  <c r="E161" i="1"/>
  <c r="D161" i="1"/>
  <c r="C161" i="1"/>
  <c r="B161" i="1"/>
  <c r="E160" i="1"/>
  <c r="D160" i="1"/>
  <c r="C160" i="1"/>
  <c r="B160" i="1"/>
  <c r="E159" i="1"/>
  <c r="D159" i="1"/>
  <c r="C159" i="1"/>
  <c r="B159" i="1"/>
  <c r="E158" i="1"/>
  <c r="D158" i="1"/>
  <c r="C158" i="1"/>
  <c r="B158" i="1"/>
  <c r="E157" i="1"/>
  <c r="D157" i="1"/>
  <c r="C157" i="1"/>
  <c r="B157" i="1"/>
  <c r="E156" i="1"/>
  <c r="D156" i="1"/>
  <c r="C156" i="1"/>
  <c r="B156" i="1"/>
  <c r="E155" i="1"/>
  <c r="D155" i="1"/>
  <c r="C155" i="1"/>
  <c r="B155" i="1"/>
  <c r="E154" i="1"/>
  <c r="D154" i="1"/>
  <c r="C154" i="1"/>
  <c r="B154" i="1"/>
  <c r="E153" i="1"/>
  <c r="D153" i="1"/>
  <c r="C153" i="1"/>
  <c r="B153" i="1"/>
  <c r="E152" i="1"/>
  <c r="D152" i="1"/>
  <c r="C152" i="1"/>
  <c r="B152" i="1"/>
  <c r="E151" i="1"/>
  <c r="D151" i="1"/>
  <c r="C151" i="1"/>
  <c r="B151" i="1"/>
  <c r="E150" i="1"/>
  <c r="D150" i="1"/>
  <c r="C150" i="1"/>
  <c r="B150" i="1"/>
  <c r="E149" i="1"/>
  <c r="D149" i="1"/>
  <c r="C149" i="1"/>
  <c r="B149" i="1"/>
  <c r="E148" i="1"/>
  <c r="D148" i="1"/>
  <c r="C148" i="1"/>
  <c r="B148" i="1"/>
  <c r="E147" i="1"/>
  <c r="D147" i="1"/>
  <c r="C147" i="1"/>
  <c r="B147" i="1"/>
  <c r="E146" i="1"/>
  <c r="D146" i="1"/>
  <c r="C146" i="1"/>
  <c r="B146" i="1"/>
  <c r="E145" i="1"/>
  <c r="D145" i="1"/>
  <c r="C145" i="1"/>
  <c r="B145" i="1"/>
  <c r="E144" i="1"/>
  <c r="D144" i="1"/>
  <c r="C144" i="1"/>
  <c r="B144" i="1"/>
  <c r="E143" i="1"/>
  <c r="D143" i="1"/>
  <c r="C143" i="1"/>
  <c r="B143" i="1"/>
  <c r="E142" i="1"/>
  <c r="D142" i="1"/>
  <c r="C142" i="1"/>
  <c r="B142" i="1"/>
  <c r="E141" i="1"/>
  <c r="D141" i="1"/>
  <c r="C141" i="1"/>
  <c r="B141" i="1"/>
  <c r="E140" i="1"/>
  <c r="D140" i="1"/>
  <c r="C140" i="1"/>
  <c r="B140" i="1"/>
  <c r="E139" i="1"/>
  <c r="D139" i="1"/>
  <c r="C139" i="1"/>
  <c r="B139" i="1"/>
  <c r="E138" i="1"/>
  <c r="D138" i="1"/>
  <c r="C138" i="1"/>
  <c r="B138" i="1"/>
  <c r="E137" i="1"/>
  <c r="D137" i="1"/>
  <c r="C137" i="1"/>
  <c r="B137" i="1"/>
  <c r="E136" i="1"/>
  <c r="D136" i="1"/>
  <c r="C136" i="1"/>
  <c r="B136" i="1"/>
  <c r="E135" i="1"/>
  <c r="D135" i="1"/>
  <c r="C135" i="1"/>
  <c r="B135" i="1"/>
  <c r="E134" i="1"/>
  <c r="D134" i="1"/>
  <c r="C134" i="1"/>
  <c r="B134" i="1"/>
  <c r="E133" i="1"/>
  <c r="D133" i="1"/>
  <c r="C133" i="1"/>
  <c r="B133" i="1"/>
  <c r="E132" i="1"/>
  <c r="D132" i="1"/>
  <c r="C132" i="1"/>
  <c r="B132" i="1"/>
  <c r="E131" i="1"/>
  <c r="D131" i="1"/>
  <c r="C131" i="1"/>
  <c r="B131" i="1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E124" i="1"/>
  <c r="D124" i="1"/>
  <c r="C124" i="1"/>
  <c r="B124" i="1"/>
  <c r="E123" i="1"/>
  <c r="D123" i="1"/>
  <c r="C123" i="1"/>
  <c r="B123" i="1"/>
  <c r="E122" i="1"/>
  <c r="D122" i="1"/>
  <c r="C122" i="1"/>
  <c r="B122" i="1"/>
  <c r="E121" i="1"/>
  <c r="D121" i="1"/>
  <c r="C121" i="1"/>
  <c r="B121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7" i="1"/>
  <c r="D117" i="1"/>
  <c r="C117" i="1"/>
  <c r="B117" i="1"/>
  <c r="E116" i="1"/>
  <c r="D116" i="1"/>
  <c r="C116" i="1"/>
  <c r="B116" i="1"/>
  <c r="E115" i="1"/>
  <c r="D115" i="1"/>
  <c r="C115" i="1"/>
  <c r="B115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E107" i="1"/>
  <c r="D107" i="1"/>
  <c r="C107" i="1"/>
  <c r="B107" i="1"/>
  <c r="E106" i="1"/>
  <c r="D106" i="1"/>
  <c r="C106" i="1"/>
  <c r="B106" i="1"/>
  <c r="E105" i="1"/>
  <c r="D105" i="1"/>
  <c r="C105" i="1"/>
  <c r="B105" i="1"/>
  <c r="E104" i="1"/>
  <c r="D104" i="1"/>
  <c r="C104" i="1"/>
  <c r="B104" i="1"/>
  <c r="E103" i="1"/>
  <c r="D103" i="1"/>
  <c r="C103" i="1"/>
  <c r="B103" i="1"/>
  <c r="E102" i="1"/>
  <c r="D102" i="1"/>
  <c r="C102" i="1"/>
  <c r="B102" i="1"/>
  <c r="E101" i="1"/>
  <c r="D101" i="1"/>
  <c r="C101" i="1"/>
  <c r="B101" i="1"/>
  <c r="E100" i="1"/>
  <c r="D100" i="1"/>
  <c r="C100" i="1"/>
  <c r="B100" i="1"/>
  <c r="E99" i="1"/>
  <c r="D99" i="1"/>
  <c r="C99" i="1"/>
  <c r="B99" i="1"/>
  <c r="E98" i="1"/>
  <c r="D98" i="1"/>
  <c r="C98" i="1"/>
  <c r="B98" i="1"/>
  <c r="E97" i="1"/>
  <c r="D97" i="1"/>
  <c r="C97" i="1"/>
  <c r="B97" i="1"/>
  <c r="E96" i="1"/>
  <c r="D96" i="1"/>
  <c r="C96" i="1"/>
  <c r="B96" i="1"/>
  <c r="E95" i="1"/>
  <c r="D95" i="1"/>
  <c r="C95" i="1"/>
  <c r="B95" i="1"/>
  <c r="E94" i="1"/>
  <c r="D94" i="1"/>
  <c r="C94" i="1"/>
  <c r="B94" i="1"/>
  <c r="E93" i="1"/>
  <c r="D93" i="1"/>
  <c r="C93" i="1"/>
  <c r="B93" i="1"/>
  <c r="E92" i="1"/>
  <c r="D92" i="1"/>
  <c r="C92" i="1"/>
  <c r="B92" i="1"/>
  <c r="E91" i="1"/>
  <c r="D91" i="1"/>
  <c r="C91" i="1"/>
  <c r="B91" i="1"/>
  <c r="E90" i="1"/>
  <c r="D90" i="1"/>
  <c r="C90" i="1"/>
  <c r="B90" i="1"/>
  <c r="E89" i="1"/>
  <c r="D89" i="1"/>
  <c r="C89" i="1"/>
  <c r="B89" i="1"/>
  <c r="E88" i="1"/>
  <c r="D88" i="1"/>
  <c r="C88" i="1"/>
  <c r="B88" i="1"/>
  <c r="E87" i="1"/>
  <c r="D87" i="1"/>
  <c r="C87" i="1"/>
  <c r="B87" i="1"/>
  <c r="E86" i="1"/>
  <c r="D86" i="1"/>
  <c r="C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2" i="1"/>
  <c r="D82" i="1"/>
  <c r="C82" i="1"/>
  <c r="B82" i="1"/>
  <c r="E81" i="1"/>
  <c r="D81" i="1"/>
  <c r="C81" i="1"/>
  <c r="B81" i="1"/>
  <c r="E80" i="1"/>
  <c r="D80" i="1"/>
  <c r="C80" i="1"/>
  <c r="B80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C72" i="1"/>
  <c r="B72" i="1"/>
  <c r="E71" i="1"/>
  <c r="D71" i="1"/>
  <c r="C71" i="1"/>
  <c r="B71" i="1"/>
  <c r="E70" i="1"/>
  <c r="D70" i="1"/>
  <c r="C70" i="1"/>
  <c r="B70" i="1"/>
  <c r="E69" i="1"/>
  <c r="D69" i="1"/>
  <c r="C69" i="1"/>
  <c r="B69" i="1"/>
  <c r="E68" i="1"/>
  <c r="D68" i="1"/>
  <c r="C68" i="1"/>
  <c r="B68" i="1"/>
  <c r="E67" i="1"/>
  <c r="D67" i="1"/>
  <c r="C67" i="1"/>
  <c r="B67" i="1"/>
  <c r="E66" i="1"/>
  <c r="D66" i="1"/>
  <c r="C66" i="1"/>
  <c r="B66" i="1"/>
  <c r="E65" i="1"/>
  <c r="D65" i="1"/>
  <c r="C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</calcChain>
</file>

<file path=xl/sharedStrings.xml><?xml version="1.0" encoding="utf-8"?>
<sst xmlns="http://schemas.openxmlformats.org/spreadsheetml/2006/main" count="5" uniqueCount="5">
  <si>
    <t>room_temperature</t>
    <phoneticPr fontId="2" type="noConversion"/>
  </si>
  <si>
    <t>Right_final</t>
  </si>
  <si>
    <t>Left_final</t>
  </si>
  <si>
    <t>Difference</t>
  </si>
  <si>
    <t>P1(uW)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</si>
</sst>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SI-Code_Dataset/05_TE_adjustor/&#22806;&#23637;&#25928;&#26524;.xlsx" TargetMode="External"/><Relationship Id="rId2" Type="http://schemas.openxmlformats.org/officeDocument/2006/relationships/externalLinkPath" Target="file:///E:\python\code4xym\YM_supperGirl\SI-Code_Dataset\05_TE_adjustor\&#22806;&#23637;&#25928;&#26524;.xlsx" TargetMode="External"/><Relationship Id="rId1" Type="http://schemas.openxmlformats.org/officeDocument/2006/relationships/externalLinkPath" Target="/python/code4xym/YM_supperGirl/SI-Code_Dataset/05_TE_adjustor/&#22806;&#23637;&#25928;&#2652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riginal"/>
      <sheetName val="data"/>
      <sheetName val="Sheet1"/>
      <sheetName val="figure"/>
    </sheetNames>
    <sheetDataSet>
      <sheetData sheetId="0"/>
      <sheetData sheetId="1"/>
      <sheetData sheetId="2">
        <row r="1">
          <cell r="A1" t="str">
            <v>room_temperature</v>
          </cell>
          <cell r="B1" t="str">
            <v>Right_final</v>
          </cell>
          <cell r="C1" t="str">
            <v>Left_final</v>
          </cell>
          <cell r="D1" t="str">
            <v>Difference</v>
          </cell>
          <cell r="E1" t="str">
            <v>P1(uW)</v>
          </cell>
        </row>
        <row r="2">
          <cell r="A2">
            <v>24.991550063918631</v>
          </cell>
          <cell r="B2">
            <v>-3.5828848690574233E-2</v>
          </cell>
          <cell r="C2">
            <v>-3.8284061093690189E-2</v>
          </cell>
          <cell r="D2">
            <v>2.455212403115956E-3</v>
          </cell>
          <cell r="E2">
            <v>967.08333333333314</v>
          </cell>
        </row>
        <row r="3">
          <cell r="A3">
            <v>24.900160889737251</v>
          </cell>
          <cell r="B3">
            <v>-3.6384116281261557E-2</v>
          </cell>
          <cell r="C3">
            <v>-3.8917255419038219E-2</v>
          </cell>
          <cell r="D3">
            <v>2.5331391377766618E-3</v>
          </cell>
          <cell r="E3">
            <v>967.41333333333341</v>
          </cell>
        </row>
        <row r="4">
          <cell r="A4">
            <v>24.799683758555169</v>
          </cell>
          <cell r="B4">
            <v>-4.0863121365684957E-2</v>
          </cell>
          <cell r="C4">
            <v>-3.8331730835559401E-2</v>
          </cell>
          <cell r="D4">
            <v>-2.531390530125556E-3</v>
          </cell>
          <cell r="E4">
            <v>132.61600000000001</v>
          </cell>
        </row>
        <row r="5">
          <cell r="A5">
            <v>24.79567432366364</v>
          </cell>
          <cell r="B5">
            <v>-3.3834810747993542E-2</v>
          </cell>
          <cell r="C5">
            <v>-3.1835268315333447E-2</v>
          </cell>
          <cell r="D5">
            <v>-1.9995424326600948E-3</v>
          </cell>
          <cell r="E5">
            <v>3.0173333333333319</v>
          </cell>
        </row>
        <row r="6">
          <cell r="A6">
            <v>24.795403601766669</v>
          </cell>
          <cell r="B6">
            <v>-3.765916687732538E-2</v>
          </cell>
          <cell r="C6">
            <v>-3.5601679409684228E-2</v>
          </cell>
          <cell r="D6">
            <v>-2.0574874676411521E-3</v>
          </cell>
          <cell r="E6">
            <v>3.046666666666666</v>
          </cell>
        </row>
        <row r="7">
          <cell r="A7">
            <v>24.70049166871555</v>
          </cell>
          <cell r="B7">
            <v>-3.6894844294403643E-2</v>
          </cell>
          <cell r="C7">
            <v>-3.4336303528262613E-2</v>
          </cell>
          <cell r="D7">
            <v>-2.558540766141031E-3</v>
          </cell>
          <cell r="E7">
            <v>3.1759999999999988</v>
          </cell>
        </row>
        <row r="8">
          <cell r="A8">
            <v>24.69260388337149</v>
          </cell>
          <cell r="B8">
            <v>-3.972812754182764E-2</v>
          </cell>
          <cell r="C8">
            <v>-4.062427381734654E-2</v>
          </cell>
          <cell r="D8">
            <v>8.961462755188998E-4</v>
          </cell>
          <cell r="E8">
            <v>491.08800000000042</v>
          </cell>
        </row>
        <row r="9">
          <cell r="A9">
            <v>24.69007769098361</v>
          </cell>
          <cell r="B9">
            <v>-3.8304152821290939E-2</v>
          </cell>
          <cell r="C9">
            <v>-3.9931218282369833E-2</v>
          </cell>
          <cell r="D9">
            <v>1.6270654610788941E-3</v>
          </cell>
          <cell r="E9">
            <v>657.91733333333298</v>
          </cell>
        </row>
        <row r="10">
          <cell r="A10">
            <v>24.604874310533649</v>
          </cell>
          <cell r="B10">
            <v>-4.7132507248496519E-2</v>
          </cell>
          <cell r="C10">
            <v>-4.6465648185882502E-2</v>
          </cell>
          <cell r="D10">
            <v>-6.6685906261401695E-4</v>
          </cell>
          <cell r="E10">
            <v>349.80000000000018</v>
          </cell>
        </row>
        <row r="11">
          <cell r="A11">
            <v>24.603578483711988</v>
          </cell>
          <cell r="B11">
            <v>-4.7945083804547033E-2</v>
          </cell>
          <cell r="C11">
            <v>-4.7375271053594951E-2</v>
          </cell>
          <cell r="D11">
            <v>-5.6981275095208117E-4</v>
          </cell>
          <cell r="E11">
            <v>349.80000000000018</v>
          </cell>
        </row>
        <row r="12">
          <cell r="A12">
            <v>24.508163099487358</v>
          </cell>
          <cell r="B12">
            <v>-5.0598379066892317E-2</v>
          </cell>
          <cell r="C12">
            <v>-5.0495041794074207E-2</v>
          </cell>
          <cell r="D12">
            <v>-1.033372728181103E-4</v>
          </cell>
          <cell r="E12">
            <v>417.85066666666671</v>
          </cell>
        </row>
        <row r="13">
          <cell r="A13">
            <v>24.507592166395991</v>
          </cell>
          <cell r="B13">
            <v>-4.7319245172659542E-2</v>
          </cell>
          <cell r="C13">
            <v>-4.7248543267624288E-2</v>
          </cell>
          <cell r="D13">
            <v>-7.0701905035254475E-5</v>
          </cell>
          <cell r="E13">
            <v>419.68799999999982</v>
          </cell>
        </row>
        <row r="14">
          <cell r="A14">
            <v>24.50683709477898</v>
          </cell>
          <cell r="B14">
            <v>-4.5807494636474398E-2</v>
          </cell>
          <cell r="C14">
            <v>-4.5625432728102912E-2</v>
          </cell>
          <cell r="D14">
            <v>-1.8206190837148639E-4</v>
          </cell>
          <cell r="E14">
            <v>417.94666666666637</v>
          </cell>
        </row>
        <row r="15">
          <cell r="A15">
            <v>24.308561580649421</v>
          </cell>
          <cell r="B15">
            <v>-5.4934117226431878E-2</v>
          </cell>
          <cell r="C15">
            <v>-5.4900443690697902E-2</v>
          </cell>
          <cell r="D15">
            <v>-3.3673535733975968E-5</v>
          </cell>
          <cell r="E15">
            <v>969.10000000000025</v>
          </cell>
        </row>
        <row r="16">
          <cell r="A16">
            <v>24.308024157192971</v>
          </cell>
          <cell r="B16">
            <v>-5.4522683454556707E-2</v>
          </cell>
          <cell r="C16">
            <v>-5.4757682366590482E-2</v>
          </cell>
          <cell r="D16">
            <v>2.3499891203377499E-4</v>
          </cell>
          <cell r="E16">
            <v>971.67466666666701</v>
          </cell>
        </row>
        <row r="17">
          <cell r="A17">
            <v>24.30580732178564</v>
          </cell>
          <cell r="B17">
            <v>-5.5373017064736227E-2</v>
          </cell>
          <cell r="C17">
            <v>-5.5432199545800129E-2</v>
          </cell>
          <cell r="D17">
            <v>5.9182481063901893E-5</v>
          </cell>
          <cell r="E17">
            <v>969.21000000000026</v>
          </cell>
        </row>
        <row r="18">
          <cell r="A18">
            <v>24.01307145572099</v>
          </cell>
          <cell r="B18">
            <v>-6.8100710576050313E-2</v>
          </cell>
          <cell r="C18">
            <v>-6.4418999419547915E-2</v>
          </cell>
          <cell r="D18">
            <v>-3.681711156502399E-3</v>
          </cell>
          <cell r="E18">
            <v>671.5999999999998</v>
          </cell>
        </row>
        <row r="19">
          <cell r="A19">
            <v>23.97953079727451</v>
          </cell>
          <cell r="B19">
            <v>-6.1258560942213137E-2</v>
          </cell>
          <cell r="C19">
            <v>-5.973324283670256E-2</v>
          </cell>
          <cell r="D19">
            <v>-1.525318105510577E-3</v>
          </cell>
          <cell r="E19">
            <v>420.52799999999962</v>
          </cell>
        </row>
        <row r="20">
          <cell r="A20">
            <v>23.910167180845189</v>
          </cell>
          <cell r="B20">
            <v>-7.0848505417390489E-2</v>
          </cell>
          <cell r="C20">
            <v>-6.7363545542843906E-2</v>
          </cell>
          <cell r="D20">
            <v>-3.4849598745465842E-3</v>
          </cell>
          <cell r="E20">
            <v>583.99866666666696</v>
          </cell>
        </row>
        <row r="21">
          <cell r="A21">
            <v>23.907380442596221</v>
          </cell>
          <cell r="B21">
            <v>-7.3491895241998229E-2</v>
          </cell>
          <cell r="C21">
            <v>-6.7600742711268327E-2</v>
          </cell>
          <cell r="D21">
            <v>-5.8911525307299012E-3</v>
          </cell>
          <cell r="E21">
            <v>8.5566666666666684</v>
          </cell>
        </row>
        <row r="22">
          <cell r="A22">
            <v>23.90260720157195</v>
          </cell>
          <cell r="B22">
            <v>-6.642074610333891E-2</v>
          </cell>
          <cell r="C22">
            <v>-6.5490668027878979E-2</v>
          </cell>
          <cell r="D22">
            <v>-9.3007807545993082E-4</v>
          </cell>
          <cell r="E22">
            <v>764.40000000000032</v>
          </cell>
        </row>
        <row r="23">
          <cell r="A23">
            <v>23.89290569814624</v>
          </cell>
          <cell r="B23">
            <v>-6.1418918579687613E-2</v>
          </cell>
          <cell r="C23">
            <v>-6.1679133239509937E-2</v>
          </cell>
          <cell r="D23">
            <v>2.6021465982232339E-4</v>
          </cell>
          <cell r="E23">
            <v>762.47266666666701</v>
          </cell>
        </row>
        <row r="24">
          <cell r="A24">
            <v>23.817923683272991</v>
          </cell>
          <cell r="B24">
            <v>-6.4888754884616831E-2</v>
          </cell>
          <cell r="C24">
            <v>-6.143568865471323E-2</v>
          </cell>
          <cell r="D24">
            <v>-3.4530662299036008E-3</v>
          </cell>
          <cell r="E24">
            <v>296.28533333333331</v>
          </cell>
        </row>
        <row r="25">
          <cell r="A25">
            <v>23.816515294031181</v>
          </cell>
          <cell r="B25">
            <v>-6.7141907962876335E-2</v>
          </cell>
          <cell r="C25">
            <v>-6.4073795275478851E-2</v>
          </cell>
          <cell r="D25">
            <v>-3.068112687397484E-3</v>
          </cell>
          <cell r="E25">
            <v>300.37666666666678</v>
          </cell>
        </row>
        <row r="26">
          <cell r="A26">
            <v>23.816502609003951</v>
          </cell>
          <cell r="B26">
            <v>-7.3520508051366923E-2</v>
          </cell>
          <cell r="C26">
            <v>-7.1886960063033356E-2</v>
          </cell>
          <cell r="D26">
            <v>-1.6335479883335671E-3</v>
          </cell>
          <cell r="E26">
            <v>295.69399999999979</v>
          </cell>
        </row>
        <row r="27">
          <cell r="A27">
            <v>23.807048877426091</v>
          </cell>
          <cell r="B27">
            <v>-6.7999981007927118E-2</v>
          </cell>
          <cell r="C27">
            <v>-6.2605384970357059E-2</v>
          </cell>
          <cell r="D27">
            <v>-5.3945960375700597E-3</v>
          </cell>
          <cell r="E27">
            <v>44.343999999999987</v>
          </cell>
        </row>
        <row r="28">
          <cell r="A28">
            <v>23.801120789498039</v>
          </cell>
          <cell r="B28">
            <v>-6.842961139459422E-2</v>
          </cell>
          <cell r="C28">
            <v>-6.4890130440921442E-2</v>
          </cell>
          <cell r="D28">
            <v>-3.5394809536727768E-3</v>
          </cell>
          <cell r="E28">
            <v>585.74600000000032</v>
          </cell>
        </row>
        <row r="29">
          <cell r="A29">
            <v>23.800087119485529</v>
          </cell>
          <cell r="B29">
            <v>-7.2403187460658061E-2</v>
          </cell>
          <cell r="C29">
            <v>-6.796221354477365E-2</v>
          </cell>
          <cell r="D29">
            <v>-4.4409739158844108E-3</v>
          </cell>
          <cell r="E29">
            <v>494.1720000000002</v>
          </cell>
        </row>
        <row r="30">
          <cell r="A30">
            <v>23.798877180506889</v>
          </cell>
          <cell r="B30">
            <v>-6.4344608828017721E-2</v>
          </cell>
          <cell r="C30">
            <v>-6.4999802889233682E-2</v>
          </cell>
          <cell r="D30">
            <v>6.5519406121596069E-4</v>
          </cell>
          <cell r="E30">
            <v>973.5</v>
          </cell>
        </row>
        <row r="31">
          <cell r="A31">
            <v>23.709486575152049</v>
          </cell>
          <cell r="B31">
            <v>-7.210814051602879E-2</v>
          </cell>
          <cell r="C31">
            <v>-6.9591479323326669E-2</v>
          </cell>
          <cell r="D31">
            <v>-2.516661192702122E-3</v>
          </cell>
          <cell r="E31">
            <v>497.78399999999982</v>
          </cell>
        </row>
        <row r="32">
          <cell r="A32">
            <v>23.70923146282453</v>
          </cell>
          <cell r="B32">
            <v>-7.1955821037747447E-2</v>
          </cell>
          <cell r="C32">
            <v>-6.9741077496160306E-2</v>
          </cell>
          <cell r="D32">
            <v>-2.2147435415871409E-3</v>
          </cell>
          <cell r="E32">
            <v>671.30799999999965</v>
          </cell>
        </row>
        <row r="33">
          <cell r="A33">
            <v>23.709054410110351</v>
          </cell>
          <cell r="B33">
            <v>-7.2934427048037681E-2</v>
          </cell>
          <cell r="C33">
            <v>-7.0512826251734911E-2</v>
          </cell>
          <cell r="D33">
            <v>-2.4216007963027701E-3</v>
          </cell>
          <cell r="E33">
            <v>501.08266666666651</v>
          </cell>
        </row>
        <row r="34">
          <cell r="A34">
            <v>23.706690857796691</v>
          </cell>
          <cell r="B34">
            <v>-7.0291677590752874E-2</v>
          </cell>
          <cell r="C34">
            <v>-6.7887469194469183E-2</v>
          </cell>
          <cell r="D34">
            <v>-2.4042083962836909E-3</v>
          </cell>
          <cell r="E34">
            <v>497.02800000000002</v>
          </cell>
        </row>
        <row r="35">
          <cell r="A35">
            <v>23.706587613112649</v>
          </cell>
          <cell r="B35">
            <v>-7.0162017694754691E-2</v>
          </cell>
          <cell r="C35">
            <v>-6.7625651476884971E-2</v>
          </cell>
          <cell r="D35">
            <v>-2.5363662178697201E-3</v>
          </cell>
          <cell r="E35">
            <v>499.12800000000033</v>
          </cell>
        </row>
        <row r="36">
          <cell r="A36">
            <v>23.702430079036631</v>
          </cell>
          <cell r="B36">
            <v>-7.4685258677826022E-2</v>
          </cell>
          <cell r="C36">
            <v>-7.11638493798218E-2</v>
          </cell>
          <cell r="D36">
            <v>-3.5214092980042221E-3</v>
          </cell>
          <cell r="E36">
            <v>8.390666666666668</v>
          </cell>
        </row>
        <row r="37">
          <cell r="A37">
            <v>23.51209492303045</v>
          </cell>
          <cell r="B37">
            <v>-8.7028423853877296E-2</v>
          </cell>
          <cell r="C37">
            <v>-8.1887094392474727E-2</v>
          </cell>
          <cell r="D37">
            <v>-5.141329461402569E-3</v>
          </cell>
          <cell r="E37">
            <v>67.14733333333335</v>
          </cell>
        </row>
        <row r="38">
          <cell r="A38">
            <v>23.509485657870119</v>
          </cell>
          <cell r="B38">
            <v>-8.1085452133457331E-2</v>
          </cell>
          <cell r="C38">
            <v>-7.7676172295791518E-2</v>
          </cell>
          <cell r="D38">
            <v>-3.4092798376658129E-3</v>
          </cell>
          <cell r="E38">
            <v>765.1513333333337</v>
          </cell>
        </row>
        <row r="39">
          <cell r="A39">
            <v>23.50706122139907</v>
          </cell>
          <cell r="B39">
            <v>-8.060060073177229E-2</v>
          </cell>
          <cell r="C39">
            <v>-7.7422622550433029E-2</v>
          </cell>
          <cell r="D39">
            <v>-3.177978181339261E-3</v>
          </cell>
          <cell r="E39">
            <v>671.5999999999998</v>
          </cell>
        </row>
        <row r="40">
          <cell r="A40">
            <v>23.50345447763527</v>
          </cell>
          <cell r="B40">
            <v>-8.0602670524491771E-2</v>
          </cell>
          <cell r="C40">
            <v>-7.5115181980539431E-2</v>
          </cell>
          <cell r="D40">
            <v>-5.4874885439523402E-3</v>
          </cell>
          <cell r="E40">
            <v>581.0486666666668</v>
          </cell>
        </row>
        <row r="41">
          <cell r="A41">
            <v>23.50307930321987</v>
          </cell>
          <cell r="B41">
            <v>-7.7661579354799865E-2</v>
          </cell>
          <cell r="C41">
            <v>-7.2853560813802745E-2</v>
          </cell>
          <cell r="D41">
            <v>-4.8080185409971193E-3</v>
          </cell>
          <cell r="E41">
            <v>576.76999999999987</v>
          </cell>
        </row>
        <row r="42">
          <cell r="A42">
            <v>23.503018513465939</v>
          </cell>
          <cell r="B42">
            <v>-8.6744789043456366E-2</v>
          </cell>
          <cell r="C42">
            <v>-8.3472084970291197E-2</v>
          </cell>
          <cell r="D42">
            <v>-3.2727040731651701E-3</v>
          </cell>
          <cell r="E42">
            <v>107.1786666666667</v>
          </cell>
        </row>
        <row r="43">
          <cell r="A43">
            <v>23.49089103140577</v>
          </cell>
          <cell r="B43">
            <v>-7.5695259829216682E-2</v>
          </cell>
          <cell r="C43">
            <v>-7.176780259033938E-2</v>
          </cell>
          <cell r="D43">
            <v>-3.9274572388773021E-3</v>
          </cell>
          <cell r="E43">
            <v>291.00000000000011</v>
          </cell>
        </row>
        <row r="44">
          <cell r="A44">
            <v>23.421699630596891</v>
          </cell>
          <cell r="B44">
            <v>-9.9427349210209598E-2</v>
          </cell>
          <cell r="C44">
            <v>-9.5684176726955533E-2</v>
          </cell>
          <cell r="D44">
            <v>-3.7431724832540651E-3</v>
          </cell>
          <cell r="E44">
            <v>69.440666666666672</v>
          </cell>
        </row>
        <row r="45">
          <cell r="A45">
            <v>23.417346794818691</v>
          </cell>
          <cell r="B45">
            <v>-6.9166061047797905E-2</v>
          </cell>
          <cell r="C45">
            <v>-6.2521941709927947E-2</v>
          </cell>
          <cell r="D45">
            <v>-6.6441193378699581E-3</v>
          </cell>
          <cell r="E45">
            <v>671.5999999999998</v>
          </cell>
        </row>
        <row r="46">
          <cell r="A46">
            <v>23.409858448806219</v>
          </cell>
          <cell r="B46">
            <v>-8.2797365081496793E-2</v>
          </cell>
          <cell r="C46">
            <v>-7.7284857202644261E-2</v>
          </cell>
          <cell r="D46">
            <v>-5.5125078788525322E-3</v>
          </cell>
          <cell r="E46">
            <v>578.07666666666682</v>
          </cell>
        </row>
        <row r="47">
          <cell r="A47">
            <v>23.320815336510151</v>
          </cell>
          <cell r="B47">
            <v>-8.3944899579261378E-2</v>
          </cell>
          <cell r="C47">
            <v>-7.4259123603140881E-2</v>
          </cell>
          <cell r="D47">
            <v>-9.6857759761204976E-3</v>
          </cell>
          <cell r="E47">
            <v>291.32333333333338</v>
          </cell>
        </row>
        <row r="48">
          <cell r="A48">
            <v>23.319462589419761</v>
          </cell>
          <cell r="B48">
            <v>-8.8171968411754939E-2</v>
          </cell>
          <cell r="C48">
            <v>-8.2886613213245461E-2</v>
          </cell>
          <cell r="D48">
            <v>-5.2853551985094782E-3</v>
          </cell>
          <cell r="E48">
            <v>503.45733333333351</v>
          </cell>
        </row>
        <row r="49">
          <cell r="A49">
            <v>23.318254421162671</v>
          </cell>
          <cell r="B49">
            <v>-9.9688663531084701E-2</v>
          </cell>
          <cell r="C49">
            <v>-9.5555477944744158E-2</v>
          </cell>
          <cell r="D49">
            <v>-4.1331855863405431E-3</v>
          </cell>
          <cell r="E49">
            <v>69.139999999999986</v>
          </cell>
        </row>
        <row r="50">
          <cell r="A50">
            <v>23.317254100236511</v>
          </cell>
          <cell r="B50">
            <v>-9.093000740333626E-2</v>
          </cell>
          <cell r="C50">
            <v>-8.5790995866458247E-2</v>
          </cell>
          <cell r="D50">
            <v>-5.1390115368780132E-3</v>
          </cell>
          <cell r="E50">
            <v>503.74799999999982</v>
          </cell>
        </row>
        <row r="51">
          <cell r="A51">
            <v>23.31677270159096</v>
          </cell>
          <cell r="B51">
            <v>-8.192452179721256E-2</v>
          </cell>
          <cell r="C51">
            <v>-7.7598278500432563E-2</v>
          </cell>
          <cell r="D51">
            <v>-4.3262432967799969E-3</v>
          </cell>
          <cell r="E51">
            <v>588.82600000000014</v>
          </cell>
        </row>
        <row r="52">
          <cell r="A52">
            <v>23.316316110419269</v>
          </cell>
          <cell r="B52">
            <v>-8.5353134192829014E-2</v>
          </cell>
          <cell r="C52">
            <v>-8.0992676059432875E-2</v>
          </cell>
          <cell r="D52">
            <v>-4.360458133396139E-3</v>
          </cell>
          <cell r="E52">
            <v>588.73466666666707</v>
          </cell>
        </row>
        <row r="53">
          <cell r="A53">
            <v>23.31479367720349</v>
          </cell>
          <cell r="B53">
            <v>-8.4276889120525791E-2</v>
          </cell>
          <cell r="C53">
            <v>-8.0105624226474353E-2</v>
          </cell>
          <cell r="D53">
            <v>-4.171264894051438E-3</v>
          </cell>
          <cell r="E53">
            <v>589.0086666666665</v>
          </cell>
        </row>
        <row r="54">
          <cell r="A54">
            <v>23.314629908339871</v>
          </cell>
          <cell r="B54">
            <v>-8.4267392129412783E-2</v>
          </cell>
          <cell r="C54">
            <v>-8.0050415099596511E-2</v>
          </cell>
          <cell r="D54">
            <v>-4.2169770298162712E-3</v>
          </cell>
          <cell r="E54">
            <v>589.1</v>
          </cell>
        </row>
        <row r="55">
          <cell r="A55">
            <v>23.3138140955121</v>
          </cell>
          <cell r="B55">
            <v>-8.6320625329043499E-2</v>
          </cell>
          <cell r="C55">
            <v>-8.2585839047966916E-2</v>
          </cell>
          <cell r="D55">
            <v>-3.7347862810765829E-3</v>
          </cell>
          <cell r="E55">
            <v>288.84933333333339</v>
          </cell>
        </row>
        <row r="56">
          <cell r="A56">
            <v>23.312560593157091</v>
          </cell>
          <cell r="B56">
            <v>-9.100119967032011E-2</v>
          </cell>
          <cell r="C56">
            <v>-8.6111856149388349E-2</v>
          </cell>
          <cell r="D56">
            <v>-4.8893435209317604E-3</v>
          </cell>
          <cell r="E56">
            <v>134.93800000000019</v>
          </cell>
        </row>
        <row r="57">
          <cell r="A57">
            <v>23.30957325407039</v>
          </cell>
          <cell r="B57">
            <v>-8.4725260610737471E-2</v>
          </cell>
          <cell r="C57">
            <v>-7.5780969553936373E-2</v>
          </cell>
          <cell r="D57">
            <v>-8.9442910568010986E-3</v>
          </cell>
          <cell r="E57">
            <v>350.55733333333342</v>
          </cell>
        </row>
        <row r="58">
          <cell r="A58">
            <v>23.308668405537858</v>
          </cell>
          <cell r="B58">
            <v>-9.0885043579746916E-2</v>
          </cell>
          <cell r="C58">
            <v>-8.5386280839083811E-2</v>
          </cell>
          <cell r="D58">
            <v>-5.4987627406631054E-3</v>
          </cell>
          <cell r="E58">
            <v>234.90000000000009</v>
          </cell>
        </row>
        <row r="59">
          <cell r="A59">
            <v>23.308619608945861</v>
          </cell>
          <cell r="B59">
            <v>-8.9722256797513777E-2</v>
          </cell>
          <cell r="C59">
            <v>-8.4389181411754596E-2</v>
          </cell>
          <cell r="D59">
            <v>-5.3330753857591812E-3</v>
          </cell>
          <cell r="E59">
            <v>66.542000000000002</v>
          </cell>
        </row>
        <row r="60">
          <cell r="A60">
            <v>23.300714210783259</v>
          </cell>
          <cell r="B60">
            <v>-8.2390707221413353E-2</v>
          </cell>
          <cell r="C60">
            <v>-7.8893792918152933E-2</v>
          </cell>
          <cell r="D60">
            <v>-3.496914303260421E-3</v>
          </cell>
          <cell r="E60">
            <v>422.78399999999982</v>
          </cell>
        </row>
        <row r="61">
          <cell r="A61">
            <v>23.29887313887447</v>
          </cell>
          <cell r="B61">
            <v>-8.9780280850299238E-2</v>
          </cell>
          <cell r="C61">
            <v>-8.3067120268657743E-2</v>
          </cell>
          <cell r="D61">
            <v>-6.7131605816414947E-3</v>
          </cell>
          <cell r="E61">
            <v>140.6999999999999</v>
          </cell>
        </row>
        <row r="62">
          <cell r="A62">
            <v>23.21836408026649</v>
          </cell>
          <cell r="B62">
            <v>-9.3530230052681282E-2</v>
          </cell>
          <cell r="C62">
            <v>-8.7341852180484528E-2</v>
          </cell>
          <cell r="D62">
            <v>-6.1883778721967542E-3</v>
          </cell>
          <cell r="E62">
            <v>69.540000000000006</v>
          </cell>
        </row>
        <row r="63">
          <cell r="A63">
            <v>23.21557051025442</v>
          </cell>
          <cell r="B63">
            <v>-8.841188854483599E-2</v>
          </cell>
          <cell r="C63">
            <v>-8.3261711412192338E-2</v>
          </cell>
          <cell r="D63">
            <v>-5.1501771326436518E-3</v>
          </cell>
          <cell r="E63">
            <v>189.96533333333321</v>
          </cell>
        </row>
        <row r="64">
          <cell r="A64">
            <v>23.214045161549681</v>
          </cell>
          <cell r="B64">
            <v>-9.1844184960814798E-2</v>
          </cell>
          <cell r="C64">
            <v>-8.1838779890267263E-2</v>
          </cell>
          <cell r="D64">
            <v>-1.000540507054754E-2</v>
          </cell>
          <cell r="E64">
            <v>22.36266666666668</v>
          </cell>
        </row>
        <row r="65">
          <cell r="A65">
            <v>23.212158991830609</v>
          </cell>
          <cell r="B65">
            <v>-9.4422575893644264E-2</v>
          </cell>
          <cell r="C65">
            <v>-8.7298092114165851E-2</v>
          </cell>
          <cell r="D65">
            <v>-7.1244837794784133E-3</v>
          </cell>
          <cell r="E65">
            <v>24.039333333333332</v>
          </cell>
        </row>
        <row r="66">
          <cell r="A66">
            <v>23.209557823105889</v>
          </cell>
          <cell r="B66">
            <v>-9.5905138564717968E-2</v>
          </cell>
          <cell r="C66">
            <v>-8.7833945932065324E-2</v>
          </cell>
          <cell r="D66">
            <v>-8.0711926326526434E-3</v>
          </cell>
          <cell r="E66">
            <v>503.49200000000008</v>
          </cell>
        </row>
        <row r="67">
          <cell r="A67">
            <v>23.209160897135781</v>
          </cell>
          <cell r="B67">
            <v>-9.1696690024459404E-2</v>
          </cell>
          <cell r="C67">
            <v>-8.6121382158456466E-2</v>
          </cell>
          <cell r="D67">
            <v>-5.5753078660029376E-3</v>
          </cell>
          <cell r="E67">
            <v>672.21333333333303</v>
          </cell>
        </row>
        <row r="68">
          <cell r="A68">
            <v>23.209116320220179</v>
          </cell>
          <cell r="B68">
            <v>-9.303481799739971E-2</v>
          </cell>
          <cell r="C68">
            <v>-8.7766966929635495E-2</v>
          </cell>
          <cell r="D68">
            <v>-5.2678510677642149E-3</v>
          </cell>
          <cell r="E68">
            <v>671.78399999999988</v>
          </cell>
        </row>
        <row r="69">
          <cell r="A69">
            <v>23.208717625436041</v>
          </cell>
          <cell r="B69">
            <v>-9.0987020323638396E-2</v>
          </cell>
          <cell r="C69">
            <v>-8.4244819500581353E-2</v>
          </cell>
          <cell r="D69">
            <v>-6.7422008230570429E-3</v>
          </cell>
          <cell r="E69">
            <v>103.836</v>
          </cell>
        </row>
        <row r="70">
          <cell r="A70">
            <v>23.208251301293039</v>
          </cell>
          <cell r="B70">
            <v>-8.5537329503856896E-2</v>
          </cell>
          <cell r="C70">
            <v>-7.5520783277346931E-2</v>
          </cell>
          <cell r="D70">
            <v>-1.001654622650996E-2</v>
          </cell>
          <cell r="E70">
            <v>1.450666666666667</v>
          </cell>
        </row>
        <row r="71">
          <cell r="A71">
            <v>23.20711203984785</v>
          </cell>
          <cell r="B71">
            <v>-9.1805046964335751E-2</v>
          </cell>
          <cell r="C71">
            <v>-8.3070201714276537E-2</v>
          </cell>
          <cell r="D71">
            <v>-8.7348452500592144E-3</v>
          </cell>
          <cell r="E71">
            <v>503.99599999999998</v>
          </cell>
        </row>
        <row r="72">
          <cell r="A72">
            <v>23.206306525539929</v>
          </cell>
          <cell r="B72">
            <v>-8.6295152041772294E-2</v>
          </cell>
          <cell r="C72">
            <v>-7.9798470152205397E-2</v>
          </cell>
          <cell r="D72">
            <v>-6.4966818895668974E-3</v>
          </cell>
          <cell r="E72">
            <v>989.74733333333347</v>
          </cell>
        </row>
        <row r="73">
          <cell r="A73">
            <v>23.205823147526491</v>
          </cell>
          <cell r="B73">
            <v>-8.6308586970414686E-2</v>
          </cell>
          <cell r="C73">
            <v>-7.9846594542936244E-2</v>
          </cell>
          <cell r="D73">
            <v>-6.4619924274784413E-3</v>
          </cell>
          <cell r="E73">
            <v>989.98333333333335</v>
          </cell>
        </row>
        <row r="74">
          <cell r="A74">
            <v>23.20543597989403</v>
          </cell>
          <cell r="B74">
            <v>-8.5547583075141709E-2</v>
          </cell>
          <cell r="C74">
            <v>-7.6673342944849829E-2</v>
          </cell>
          <cell r="D74">
            <v>-8.87424013029188E-3</v>
          </cell>
          <cell r="E74">
            <v>1.402666666666667</v>
          </cell>
        </row>
        <row r="75">
          <cell r="A75">
            <v>23.199916641462121</v>
          </cell>
          <cell r="B75">
            <v>-8.2860799298511187E-2</v>
          </cell>
          <cell r="C75">
            <v>-7.6024049172005809E-2</v>
          </cell>
          <cell r="D75">
            <v>-6.8367501265053782E-3</v>
          </cell>
          <cell r="E75">
            <v>7.9099999999999993</v>
          </cell>
        </row>
        <row r="76">
          <cell r="A76">
            <v>23.196199157178459</v>
          </cell>
          <cell r="B76">
            <v>-8.7971172540343021E-2</v>
          </cell>
          <cell r="C76">
            <v>-7.9113692467415439E-2</v>
          </cell>
          <cell r="D76">
            <v>-8.8574800729275815E-3</v>
          </cell>
          <cell r="E76">
            <v>293.52200000000011</v>
          </cell>
        </row>
        <row r="77">
          <cell r="A77">
            <v>23.19405357692667</v>
          </cell>
          <cell r="B77">
            <v>-9.114898129012465E-2</v>
          </cell>
          <cell r="C77">
            <v>-8.5612977187816547E-2</v>
          </cell>
          <cell r="D77">
            <v>-5.5360041023081036E-3</v>
          </cell>
          <cell r="E77">
            <v>293.45733333333322</v>
          </cell>
        </row>
        <row r="78">
          <cell r="A78">
            <v>23.12024202686672</v>
          </cell>
          <cell r="B78">
            <v>-8.8553637475305466E-2</v>
          </cell>
          <cell r="C78">
            <v>-8.1639877109671716E-2</v>
          </cell>
          <cell r="D78">
            <v>-6.9137603656337504E-3</v>
          </cell>
          <cell r="E78">
            <v>10.199999999999999</v>
          </cell>
        </row>
        <row r="79">
          <cell r="A79">
            <v>23.11555057925105</v>
          </cell>
          <cell r="B79">
            <v>-9.2779362821571787E-2</v>
          </cell>
          <cell r="C79">
            <v>-8.5900249217086652E-2</v>
          </cell>
          <cell r="D79">
            <v>-6.8791136044851348E-3</v>
          </cell>
          <cell r="E79">
            <v>43.583999999999989</v>
          </cell>
        </row>
        <row r="80">
          <cell r="A80">
            <v>23.11520718184714</v>
          </cell>
          <cell r="B80">
            <v>-8.9464067046181525E-2</v>
          </cell>
          <cell r="C80">
            <v>-7.9389088046992948E-2</v>
          </cell>
          <cell r="D80">
            <v>-1.0074978999188579E-2</v>
          </cell>
          <cell r="E80">
            <v>8.8033333333333346</v>
          </cell>
        </row>
        <row r="81">
          <cell r="A81">
            <v>23.113955744380149</v>
          </cell>
          <cell r="B81">
            <v>-9.492090709726321E-2</v>
          </cell>
          <cell r="C81">
            <v>-9.0230907465895474E-2</v>
          </cell>
          <cell r="D81">
            <v>-4.6899996313677361E-3</v>
          </cell>
          <cell r="E81">
            <v>764.92266666666649</v>
          </cell>
        </row>
        <row r="82">
          <cell r="A82">
            <v>23.104737809822499</v>
          </cell>
          <cell r="B82">
            <v>-9.4626993538626802E-2</v>
          </cell>
          <cell r="C82">
            <v>-8.9001450873180982E-2</v>
          </cell>
          <cell r="D82">
            <v>-5.6255426654458207E-3</v>
          </cell>
          <cell r="E82">
            <v>234.72599999999991</v>
          </cell>
        </row>
        <row r="83">
          <cell r="A83">
            <v>23.104498638089591</v>
          </cell>
          <cell r="B83">
            <v>-9.4600267959377315E-2</v>
          </cell>
          <cell r="C83">
            <v>-8.8993677599784965E-2</v>
          </cell>
          <cell r="D83">
            <v>-5.6065903595923514E-3</v>
          </cell>
          <cell r="E83">
            <v>234.72599999999991</v>
          </cell>
        </row>
        <row r="84">
          <cell r="A84">
            <v>23.082490446348579</v>
          </cell>
          <cell r="B84">
            <v>-9.5501695299965134E-2</v>
          </cell>
          <cell r="C84">
            <v>-9.0006223682291442E-2</v>
          </cell>
          <cell r="D84">
            <v>-5.4954716176736917E-3</v>
          </cell>
          <cell r="E84">
            <v>352.53466666666651</v>
          </cell>
        </row>
        <row r="85">
          <cell r="A85">
            <v>23.01745192939115</v>
          </cell>
          <cell r="B85">
            <v>-0.10848721203264911</v>
          </cell>
          <cell r="C85">
            <v>-9.7447569166259407E-2</v>
          </cell>
          <cell r="D85">
            <v>-1.10396428663897E-2</v>
          </cell>
          <cell r="E85">
            <v>353.45400000000001</v>
          </cell>
        </row>
        <row r="86">
          <cell r="A86">
            <v>23.01562211526997</v>
          </cell>
          <cell r="B86">
            <v>-0.1040404590535312</v>
          </cell>
          <cell r="C86">
            <v>-9.3863318595727024E-2</v>
          </cell>
          <cell r="D86">
            <v>-1.0177140457804171E-2</v>
          </cell>
          <cell r="E86">
            <v>351.16933333333338</v>
          </cell>
        </row>
        <row r="87">
          <cell r="A87">
            <v>23.008630994770709</v>
          </cell>
          <cell r="B87">
            <v>-0.1005996893467089</v>
          </cell>
          <cell r="C87">
            <v>-9.3361980993831958E-2</v>
          </cell>
          <cell r="D87">
            <v>-7.2377083528769454E-3</v>
          </cell>
          <cell r="E87">
            <v>8.7086666666666694</v>
          </cell>
        </row>
        <row r="88">
          <cell r="A88">
            <v>23.00779251779641</v>
          </cell>
          <cell r="B88">
            <v>-0.1012776910340123</v>
          </cell>
          <cell r="C88">
            <v>-9.459906516606649E-2</v>
          </cell>
          <cell r="D88">
            <v>-6.678625867945806E-3</v>
          </cell>
          <cell r="E88">
            <v>41.799999999999983</v>
          </cell>
        </row>
        <row r="89">
          <cell r="A89">
            <v>23.007016739963241</v>
          </cell>
          <cell r="B89">
            <v>-0.1015380291926434</v>
          </cell>
          <cell r="C89">
            <v>-9.4273984715810541E-2</v>
          </cell>
          <cell r="D89">
            <v>-7.2640444768328621E-3</v>
          </cell>
          <cell r="E89">
            <v>9</v>
          </cell>
        </row>
        <row r="90">
          <cell r="A90">
            <v>23.00585214282621</v>
          </cell>
          <cell r="B90">
            <v>-9.1681515392058224E-2</v>
          </cell>
          <cell r="C90">
            <v>-8.466855718788345E-2</v>
          </cell>
          <cell r="D90">
            <v>-7.012958204174774E-3</v>
          </cell>
          <cell r="E90">
            <v>44.763999999999989</v>
          </cell>
        </row>
        <row r="91">
          <cell r="A91">
            <v>23.003671049993891</v>
          </cell>
          <cell r="B91">
            <v>-9.7215921234009559E-2</v>
          </cell>
          <cell r="C91">
            <v>-9.2248681945875141E-2</v>
          </cell>
          <cell r="D91">
            <v>-4.9672392881344174E-3</v>
          </cell>
          <cell r="E91">
            <v>864.52799999999968</v>
          </cell>
        </row>
        <row r="92">
          <cell r="A92">
            <v>23.002664795161401</v>
          </cell>
          <cell r="B92">
            <v>-9.9342573090830305E-2</v>
          </cell>
          <cell r="C92">
            <v>-9.1996529646580505E-2</v>
          </cell>
          <cell r="D92">
            <v>-7.3460434442498002E-3</v>
          </cell>
          <cell r="E92">
            <v>22.81066666666668</v>
          </cell>
        </row>
        <row r="93">
          <cell r="A93">
            <v>23.00014807284925</v>
          </cell>
          <cell r="B93">
            <v>-9.4732139397671139E-2</v>
          </cell>
          <cell r="C93">
            <v>-8.9954174501766598E-2</v>
          </cell>
          <cell r="D93">
            <v>-4.7779648959045407E-3</v>
          </cell>
          <cell r="E93">
            <v>865.2619999999996</v>
          </cell>
        </row>
        <row r="94">
          <cell r="A94">
            <v>22.998339630106191</v>
          </cell>
          <cell r="B94">
            <v>-8.8365455440125112E-2</v>
          </cell>
          <cell r="C94">
            <v>-7.829790678066656E-2</v>
          </cell>
          <cell r="D94">
            <v>-1.0067548659458549E-2</v>
          </cell>
          <cell r="E94">
            <v>22.423999999999999</v>
          </cell>
        </row>
        <row r="95">
          <cell r="A95">
            <v>22.912567758339211</v>
          </cell>
          <cell r="B95">
            <v>-9.1583905901792592E-2</v>
          </cell>
          <cell r="C95">
            <v>-8.1659033882077264E-2</v>
          </cell>
          <cell r="D95">
            <v>-9.9248720197153278E-3</v>
          </cell>
          <cell r="E95">
            <v>104.184</v>
          </cell>
        </row>
        <row r="96">
          <cell r="A96">
            <v>22.91194852274365</v>
          </cell>
          <cell r="B96">
            <v>-9.1522930675547676E-2</v>
          </cell>
          <cell r="C96">
            <v>-8.1517393577724889E-2</v>
          </cell>
          <cell r="D96">
            <v>-1.000553709782279E-2</v>
          </cell>
          <cell r="E96">
            <v>104.16</v>
          </cell>
        </row>
        <row r="97">
          <cell r="A97">
            <v>22.90768590664873</v>
          </cell>
          <cell r="B97">
            <v>-9.7585070699243159E-2</v>
          </cell>
          <cell r="C97">
            <v>-9.0359225658459774E-2</v>
          </cell>
          <cell r="D97">
            <v>-7.2258450407833852E-3</v>
          </cell>
          <cell r="E97">
            <v>45.094666666666669</v>
          </cell>
        </row>
        <row r="98">
          <cell r="A98">
            <v>22.904286654382599</v>
          </cell>
          <cell r="B98">
            <v>-0.1007914743177754</v>
          </cell>
          <cell r="C98">
            <v>-9.6178216650070897E-2</v>
          </cell>
          <cell r="D98">
            <v>-4.6132576677044984E-3</v>
          </cell>
          <cell r="E98">
            <v>138.78200000000001</v>
          </cell>
        </row>
        <row r="99">
          <cell r="A99">
            <v>22.898217338478251</v>
          </cell>
          <cell r="B99">
            <v>-9.6916448562710228E-2</v>
          </cell>
          <cell r="C99">
            <v>-9.1140699785310961E-2</v>
          </cell>
          <cell r="D99">
            <v>-5.7757487773992672E-3</v>
          </cell>
          <cell r="E99">
            <v>140.6999999999999</v>
          </cell>
        </row>
        <row r="100">
          <cell r="A100">
            <v>22.893357953171972</v>
          </cell>
          <cell r="B100">
            <v>-0.1035366095226611</v>
          </cell>
          <cell r="C100">
            <v>-9.5512980838751815E-2</v>
          </cell>
          <cell r="D100">
            <v>-8.0236286839092813E-3</v>
          </cell>
          <cell r="E100">
            <v>41.799999999999983</v>
          </cell>
        </row>
        <row r="101">
          <cell r="A101">
            <v>22.81848830515699</v>
          </cell>
          <cell r="B101">
            <v>-9.3000846390478356E-2</v>
          </cell>
          <cell r="C101">
            <v>-8.1378294802790879E-2</v>
          </cell>
          <cell r="D101">
            <v>-1.162255158768748E-2</v>
          </cell>
          <cell r="E101">
            <v>104.04</v>
          </cell>
        </row>
        <row r="102">
          <cell r="A102">
            <v>22.814949464003991</v>
          </cell>
          <cell r="B102">
            <v>-0.1021545061100238</v>
          </cell>
          <cell r="C102">
            <v>-9.5756525900950754E-2</v>
          </cell>
          <cell r="D102">
            <v>-6.3979802090730481E-3</v>
          </cell>
          <cell r="E102">
            <v>187.18799999999999</v>
          </cell>
        </row>
        <row r="103">
          <cell r="A103">
            <v>22.814020350018861</v>
          </cell>
          <cell r="B103">
            <v>-0.1005621631693189</v>
          </cell>
          <cell r="C103">
            <v>-9.4129455035593113E-2</v>
          </cell>
          <cell r="D103">
            <v>-6.4327081337257896E-3</v>
          </cell>
          <cell r="E103">
            <v>186.78399999999999</v>
          </cell>
        </row>
        <row r="104">
          <cell r="A104">
            <v>22.813758724200252</v>
          </cell>
          <cell r="B104">
            <v>-9.7895708601991635E-2</v>
          </cell>
          <cell r="C104">
            <v>-9.2470151960057118E-2</v>
          </cell>
          <cell r="D104">
            <v>-5.4255566419345166E-3</v>
          </cell>
          <cell r="E104">
            <v>185.50399999999991</v>
          </cell>
        </row>
        <row r="105">
          <cell r="A105">
            <v>22.813360151888059</v>
          </cell>
          <cell r="B105">
            <v>-0.1010599208521773</v>
          </cell>
          <cell r="C105">
            <v>-9.5014139303076339E-2</v>
          </cell>
          <cell r="D105">
            <v>-6.0457815491009592E-3</v>
          </cell>
          <cell r="E105">
            <v>140.68600000000009</v>
          </cell>
        </row>
        <row r="106">
          <cell r="A106">
            <v>22.812436332105179</v>
          </cell>
          <cell r="B106">
            <v>-0.10117925818074069</v>
          </cell>
          <cell r="C106">
            <v>-9.4827203462275883E-2</v>
          </cell>
          <cell r="D106">
            <v>-6.3520547184648113E-3</v>
          </cell>
          <cell r="E106">
            <v>187.70666666666671</v>
          </cell>
        </row>
        <row r="107">
          <cell r="A107">
            <v>22.810705000206109</v>
          </cell>
          <cell r="B107">
            <v>-9.7154817157514284E-2</v>
          </cell>
          <cell r="C107">
            <v>-9.3335109612324496E-2</v>
          </cell>
          <cell r="D107">
            <v>-3.8197075451897882E-3</v>
          </cell>
          <cell r="E107">
            <v>973.5</v>
          </cell>
        </row>
        <row r="108">
          <cell r="A108">
            <v>22.809303214731639</v>
          </cell>
          <cell r="B108">
            <v>-0.1049724830005557</v>
          </cell>
          <cell r="C108">
            <v>-0.10000780942570919</v>
          </cell>
          <cell r="D108">
            <v>-4.9646735748465074E-3</v>
          </cell>
          <cell r="E108">
            <v>44.555999999999983</v>
          </cell>
        </row>
        <row r="109">
          <cell r="A109">
            <v>22.809165025675881</v>
          </cell>
          <cell r="B109">
            <v>-0.10581853184052351</v>
          </cell>
          <cell r="C109">
            <v>-0.10115253791613441</v>
          </cell>
          <cell r="D109">
            <v>-4.6659939243891002E-3</v>
          </cell>
          <cell r="E109">
            <v>70.073333333333338</v>
          </cell>
        </row>
        <row r="110">
          <cell r="A110">
            <v>22.722063559553309</v>
          </cell>
          <cell r="B110">
            <v>-0.1138019620585773</v>
          </cell>
          <cell r="C110">
            <v>-0.10094523877205749</v>
          </cell>
          <cell r="D110">
            <v>-1.285672328651981E-2</v>
          </cell>
          <cell r="E110">
            <v>352.74133333333339</v>
          </cell>
        </row>
        <row r="111">
          <cell r="A111">
            <v>22.719368329349681</v>
          </cell>
          <cell r="B111">
            <v>-9.8105207648312043E-2</v>
          </cell>
          <cell r="C111">
            <v>-8.8411278585721606E-2</v>
          </cell>
          <cell r="D111">
            <v>-9.6939290625904367E-3</v>
          </cell>
          <cell r="E111">
            <v>864.41733333333309</v>
          </cell>
        </row>
        <row r="112">
          <cell r="A112">
            <v>22.717957947060729</v>
          </cell>
          <cell r="B112">
            <v>-9.38541283825918E-2</v>
          </cell>
          <cell r="C112">
            <v>-8.4581232881249122E-2</v>
          </cell>
          <cell r="D112">
            <v>-9.2728955013426789E-3</v>
          </cell>
          <cell r="E112">
            <v>864.63866666666684</v>
          </cell>
        </row>
        <row r="113">
          <cell r="A113">
            <v>22.717885037841139</v>
          </cell>
          <cell r="B113">
            <v>-9.732494900009632E-2</v>
          </cell>
          <cell r="C113">
            <v>-8.8001518888757971E-2</v>
          </cell>
          <cell r="D113">
            <v>-9.3234301113383489E-3</v>
          </cell>
          <cell r="E113">
            <v>863.42133333333277</v>
          </cell>
        </row>
        <row r="114">
          <cell r="A114">
            <v>22.714756919656701</v>
          </cell>
          <cell r="B114">
            <v>-0.1030071403015161</v>
          </cell>
          <cell r="C114">
            <v>-9.6737762290517046E-2</v>
          </cell>
          <cell r="D114">
            <v>-6.2693780109990549E-3</v>
          </cell>
          <cell r="E114">
            <v>234.90000000000009</v>
          </cell>
        </row>
        <row r="115">
          <cell r="A115">
            <v>22.714562705280191</v>
          </cell>
          <cell r="B115">
            <v>-0.10112045129104311</v>
          </cell>
          <cell r="C115">
            <v>-9.5494455485909222E-2</v>
          </cell>
          <cell r="D115">
            <v>-5.6259958051338849E-3</v>
          </cell>
          <cell r="E115">
            <v>43.943333333333307</v>
          </cell>
        </row>
        <row r="116">
          <cell r="A116">
            <v>22.706103702980531</v>
          </cell>
          <cell r="B116">
            <v>-0.10004664563559459</v>
          </cell>
          <cell r="C116">
            <v>-9.5565541812361141E-2</v>
          </cell>
          <cell r="D116">
            <v>-4.4811038232334538E-3</v>
          </cell>
          <cell r="E116">
            <v>764.45799999999986</v>
          </cell>
        </row>
        <row r="117">
          <cell r="A117">
            <v>22.702433658274821</v>
          </cell>
          <cell r="B117">
            <v>-0.1005693066935074</v>
          </cell>
          <cell r="C117">
            <v>-9.5795627587987792E-2</v>
          </cell>
          <cell r="D117">
            <v>-4.7736791055196098E-3</v>
          </cell>
          <cell r="E117">
            <v>973.5</v>
          </cell>
        </row>
        <row r="118">
          <cell r="A118">
            <v>22.702300804708411</v>
          </cell>
          <cell r="B118">
            <v>-0.1047899312488727</v>
          </cell>
          <cell r="C118">
            <v>-9.9449501065332138E-2</v>
          </cell>
          <cell r="D118">
            <v>-5.3404301835405649E-3</v>
          </cell>
          <cell r="E118">
            <v>861.83066666666616</v>
          </cell>
        </row>
        <row r="119">
          <cell r="A119">
            <v>22.700972517750351</v>
          </cell>
          <cell r="B119">
            <v>-9.6951536677557293E-2</v>
          </cell>
          <cell r="C119">
            <v>-9.0691134640205298E-2</v>
          </cell>
          <cell r="D119">
            <v>-6.2604020373519947E-3</v>
          </cell>
          <cell r="E119">
            <v>576.31333333333305</v>
          </cell>
        </row>
        <row r="120">
          <cell r="A120">
            <v>22.700888198713489</v>
          </cell>
          <cell r="B120">
            <v>-0.1014060612848643</v>
          </cell>
          <cell r="C120">
            <v>-9.5705962254074711E-2</v>
          </cell>
          <cell r="D120">
            <v>-5.7000990307895932E-3</v>
          </cell>
          <cell r="E120">
            <v>852.6099999999999</v>
          </cell>
        </row>
        <row r="121">
          <cell r="A121">
            <v>22.694370593462061</v>
          </cell>
          <cell r="B121">
            <v>-0.103725441096003</v>
          </cell>
          <cell r="C121">
            <v>-9.8200125668410174E-2</v>
          </cell>
          <cell r="D121">
            <v>-5.5253154275928251E-3</v>
          </cell>
          <cell r="E121">
            <v>663.2399999999999</v>
          </cell>
        </row>
        <row r="122">
          <cell r="A122">
            <v>22.622424853192509</v>
          </cell>
          <cell r="B122">
            <v>-9.8989357564473079E-2</v>
          </cell>
          <cell r="C122">
            <v>-8.8107729713686259E-2</v>
          </cell>
          <cell r="D122">
            <v>-1.0881627850786821E-2</v>
          </cell>
          <cell r="E122">
            <v>990.84600000000034</v>
          </cell>
        </row>
        <row r="123">
          <cell r="A123">
            <v>22.617030241580888</v>
          </cell>
          <cell r="B123">
            <v>-9.7746063404715783E-2</v>
          </cell>
          <cell r="C123">
            <v>-8.6704958082504197E-2</v>
          </cell>
          <cell r="D123">
            <v>-1.104110532221159E-2</v>
          </cell>
          <cell r="E123">
            <v>140.6999999999999</v>
          </cell>
        </row>
        <row r="124">
          <cell r="A124">
            <v>22.616669019588919</v>
          </cell>
          <cell r="B124">
            <v>-0.1048084860547753</v>
          </cell>
          <cell r="C124">
            <v>-9.6387950724127425E-2</v>
          </cell>
          <cell r="D124">
            <v>-8.420535330647877E-3</v>
          </cell>
          <cell r="E124">
            <v>102.684</v>
          </cell>
        </row>
        <row r="125">
          <cell r="A125">
            <v>22.61649731583222</v>
          </cell>
          <cell r="B125">
            <v>-0.10513630837287551</v>
          </cell>
          <cell r="C125">
            <v>-9.6882628954451364E-2</v>
          </cell>
          <cell r="D125">
            <v>-8.2536794184241424E-3</v>
          </cell>
          <cell r="E125">
            <v>103.968</v>
          </cell>
        </row>
        <row r="126">
          <cell r="A126">
            <v>22.616179824067171</v>
          </cell>
          <cell r="B126">
            <v>-9.7497835753884224E-2</v>
          </cell>
          <cell r="C126">
            <v>-8.636979790750525E-2</v>
          </cell>
          <cell r="D126">
            <v>-1.1128037846378971E-2</v>
          </cell>
          <cell r="E126">
            <v>140.6999999999999</v>
          </cell>
        </row>
        <row r="127">
          <cell r="A127">
            <v>22.61559450318353</v>
          </cell>
          <cell r="B127">
            <v>-0.106143036801053</v>
          </cell>
          <cell r="C127">
            <v>-9.794815852209493E-2</v>
          </cell>
          <cell r="D127">
            <v>-8.1948782789580676E-3</v>
          </cell>
          <cell r="E127">
            <v>102.624</v>
          </cell>
        </row>
        <row r="128">
          <cell r="A128">
            <v>22.613702139388181</v>
          </cell>
          <cell r="B128">
            <v>-0.10869529161790339</v>
          </cell>
          <cell r="C128">
            <v>-0.1003392387305134</v>
          </cell>
          <cell r="D128">
            <v>-8.3560528873899975E-3</v>
          </cell>
          <cell r="E128">
            <v>140.6999999999999</v>
          </cell>
        </row>
        <row r="129">
          <cell r="A129">
            <v>22.599588066297969</v>
          </cell>
          <cell r="B129">
            <v>-0.1069106127463246</v>
          </cell>
          <cell r="C129">
            <v>-0.10022584422470041</v>
          </cell>
          <cell r="D129">
            <v>-6.6847685216241959E-3</v>
          </cell>
          <cell r="E129">
            <v>234.97200000000009</v>
          </cell>
        </row>
        <row r="130">
          <cell r="A130">
            <v>22.52210765552049</v>
          </cell>
          <cell r="B130">
            <v>-9.7744469413066984E-2</v>
          </cell>
          <cell r="C130">
            <v>-8.8912890857409624E-2</v>
          </cell>
          <cell r="D130">
            <v>-8.8315785556573601E-3</v>
          </cell>
          <cell r="E130">
            <v>293.12466666666671</v>
          </cell>
        </row>
        <row r="131">
          <cell r="A131">
            <v>22.521029863479171</v>
          </cell>
          <cell r="B131">
            <v>-9.9985780357926116E-2</v>
          </cell>
          <cell r="C131">
            <v>-9.0918036760620838E-2</v>
          </cell>
          <cell r="D131">
            <v>-9.0677435973052778E-3</v>
          </cell>
          <cell r="E131">
            <v>293.72733333333332</v>
          </cell>
        </row>
        <row r="132">
          <cell r="A132">
            <v>22.516211271645719</v>
          </cell>
          <cell r="B132">
            <v>-0.1213107596303301</v>
          </cell>
          <cell r="C132">
            <v>-0.11015422908529029</v>
          </cell>
          <cell r="D132">
            <v>-1.1156530545039799E-2</v>
          </cell>
          <cell r="E132">
            <v>1.472</v>
          </cell>
        </row>
        <row r="133">
          <cell r="A133">
            <v>22.51620345837911</v>
          </cell>
          <cell r="B133">
            <v>-0.1071810110883933</v>
          </cell>
          <cell r="C133">
            <v>-0.1016336487626309</v>
          </cell>
          <cell r="D133">
            <v>-5.5473623257624033E-3</v>
          </cell>
          <cell r="E133">
            <v>575.58266666666657</v>
          </cell>
        </row>
        <row r="134">
          <cell r="A134">
            <v>22.514766298328961</v>
          </cell>
          <cell r="B134">
            <v>-0.10968946673576541</v>
          </cell>
          <cell r="C134">
            <v>-0.10380557358191091</v>
          </cell>
          <cell r="D134">
            <v>-5.8838931538544997E-3</v>
          </cell>
          <cell r="E134">
            <v>576.22200000000009</v>
          </cell>
        </row>
        <row r="135">
          <cell r="A135">
            <v>22.510985410621728</v>
          </cell>
          <cell r="B135">
            <v>-0.1130333630761397</v>
          </cell>
          <cell r="C135">
            <v>-0.104596938075343</v>
          </cell>
          <cell r="D135">
            <v>-8.4364250007967073E-3</v>
          </cell>
          <cell r="E135">
            <v>8.5466666666666704</v>
          </cell>
        </row>
        <row r="136">
          <cell r="A136">
            <v>22.501291876834149</v>
          </cell>
          <cell r="B136">
            <v>-0.10754110121452259</v>
          </cell>
          <cell r="C136">
            <v>-9.8685353795717884E-2</v>
          </cell>
          <cell r="D136">
            <v>-8.8557474188047103E-3</v>
          </cell>
          <cell r="E136">
            <v>140.6999999999999</v>
          </cell>
        </row>
        <row r="137">
          <cell r="A137">
            <v>22.41846751188962</v>
          </cell>
          <cell r="B137">
            <v>-0.1047548016899669</v>
          </cell>
          <cell r="C137">
            <v>-9.3268620210489248E-2</v>
          </cell>
          <cell r="D137">
            <v>-1.148618147947765E-2</v>
          </cell>
          <cell r="E137">
            <v>291.06466666666682</v>
          </cell>
        </row>
        <row r="138">
          <cell r="A138">
            <v>22.40832778497672</v>
          </cell>
          <cell r="B138">
            <v>-0.1211284007763358</v>
          </cell>
          <cell r="C138">
            <v>-0.1089845156381293</v>
          </cell>
          <cell r="D138">
            <v>-1.214388513820649E-2</v>
          </cell>
          <cell r="E138">
            <v>9.2293333333333329</v>
          </cell>
        </row>
        <row r="139">
          <cell r="A139">
            <v>22.319310976447522</v>
          </cell>
          <cell r="B139">
            <v>-0.1099246823878794</v>
          </cell>
          <cell r="C139">
            <v>-9.8296268456075114E-2</v>
          </cell>
          <cell r="D139">
            <v>-1.1628413931804291E-2</v>
          </cell>
          <cell r="E139">
            <v>429.19333333333333</v>
          </cell>
        </row>
        <row r="140">
          <cell r="A140">
            <v>22.315448234615761</v>
          </cell>
          <cell r="B140">
            <v>-0.1089034319951431</v>
          </cell>
          <cell r="C140">
            <v>-9.6677302019350056E-2</v>
          </cell>
          <cell r="D140">
            <v>-1.2226129975793049E-2</v>
          </cell>
          <cell r="E140">
            <v>353.22599999999971</v>
          </cell>
        </row>
        <row r="141">
          <cell r="A141">
            <v>22.310802658689791</v>
          </cell>
          <cell r="B141">
            <v>-0.1117087706882961</v>
          </cell>
          <cell r="C141">
            <v>-9.8602704701644533E-2</v>
          </cell>
          <cell r="D141">
            <v>-1.310606598665157E-2</v>
          </cell>
          <cell r="E141">
            <v>355.16866666666652</v>
          </cell>
        </row>
        <row r="142">
          <cell r="A142">
            <v>22.30851991579479</v>
          </cell>
          <cell r="B142">
            <v>-0.11976409371572749</v>
          </cell>
          <cell r="C142">
            <v>-0.1070686046583126</v>
          </cell>
          <cell r="D142">
            <v>-1.26954890574149E-2</v>
          </cell>
          <cell r="E142">
            <v>41.799999999999983</v>
          </cell>
        </row>
        <row r="143">
          <cell r="A143">
            <v>22.218769465314011</v>
          </cell>
          <cell r="B143">
            <v>-0.11194636809528349</v>
          </cell>
          <cell r="C143">
            <v>-0.100366521373093</v>
          </cell>
          <cell r="D143">
            <v>-1.1579846722190489E-2</v>
          </cell>
          <cell r="E143">
            <v>1.5986666666666669</v>
          </cell>
        </row>
        <row r="144">
          <cell r="A144">
            <v>22.208409952180219</v>
          </cell>
          <cell r="B144">
            <v>-0.12589276326963589</v>
          </cell>
          <cell r="C144">
            <v>-0.1127980523440486</v>
          </cell>
          <cell r="D144">
            <v>-1.3094710925587279E-2</v>
          </cell>
          <cell r="E144">
            <v>1.461333333333334</v>
          </cell>
        </row>
        <row r="145">
          <cell r="A145">
            <v>22.202802841431769</v>
          </cell>
          <cell r="B145">
            <v>-0.120831879908955</v>
          </cell>
          <cell r="C145">
            <v>-0.1077483139560486</v>
          </cell>
          <cell r="D145">
            <v>-1.30835659529064E-2</v>
          </cell>
          <cell r="E145">
            <v>41.81466666666666</v>
          </cell>
        </row>
        <row r="146">
          <cell r="A146">
            <v>22.10892297557286</v>
          </cell>
          <cell r="B146">
            <v>-0.12492060491310721</v>
          </cell>
          <cell r="C146">
            <v>-0.11204951131689141</v>
          </cell>
          <cell r="D146">
            <v>-1.2871093596215801E-2</v>
          </cell>
          <cell r="E146">
            <v>65.940000000000026</v>
          </cell>
        </row>
        <row r="147">
          <cell r="A147">
            <v>22.10806314013205</v>
          </cell>
          <cell r="B147">
            <v>-0.1250905083518743</v>
          </cell>
          <cell r="C147">
            <v>-0.1112438958096363</v>
          </cell>
          <cell r="D147">
            <v>-1.3846612542238E-2</v>
          </cell>
          <cell r="E147">
            <v>66.10799999999999</v>
          </cell>
        </row>
        <row r="148">
          <cell r="A148">
            <v>22.10569266312022</v>
          </cell>
          <cell r="B148">
            <v>-0.1149444112411082</v>
          </cell>
          <cell r="C148">
            <v>-0.10270006552507339</v>
          </cell>
          <cell r="D148">
            <v>-1.2244345716034799E-2</v>
          </cell>
          <cell r="E148">
            <v>1.6</v>
          </cell>
        </row>
        <row r="149">
          <cell r="A149">
            <v>22.012109451843319</v>
          </cell>
          <cell r="B149">
            <v>-0.1210204454325763</v>
          </cell>
          <cell r="C149">
            <v>-0.11098749582954991</v>
          </cell>
          <cell r="D149">
            <v>-1.003294960302639E-2</v>
          </cell>
          <cell r="E149">
            <v>1.4</v>
          </cell>
        </row>
        <row r="150">
          <cell r="A150">
            <v>21.91582290217622</v>
          </cell>
          <cell r="B150">
            <v>-0.1244702337345059</v>
          </cell>
          <cell r="C150">
            <v>-0.11481400826572789</v>
          </cell>
          <cell r="D150">
            <v>-9.6562254687780069E-3</v>
          </cell>
          <cell r="E150">
            <v>23.300666666666679</v>
          </cell>
        </row>
        <row r="151">
          <cell r="A151">
            <v>21.913346603913539</v>
          </cell>
          <cell r="B151">
            <v>-0.12470916878640551</v>
          </cell>
          <cell r="C151">
            <v>-0.1154085224780426</v>
          </cell>
          <cell r="D151">
            <v>-9.3006463083629004E-3</v>
          </cell>
          <cell r="E151">
            <v>45.463999999999999</v>
          </cell>
        </row>
        <row r="152">
          <cell r="A152">
            <v>21.812188501151169</v>
          </cell>
          <cell r="B152">
            <v>-0.13039262026901699</v>
          </cell>
          <cell r="C152">
            <v>-0.12040410320283169</v>
          </cell>
          <cell r="D152">
            <v>-9.9885170661852957E-3</v>
          </cell>
          <cell r="E152">
            <v>102.6</v>
          </cell>
        </row>
        <row r="153">
          <cell r="A153">
            <v>21.719947412839211</v>
          </cell>
          <cell r="B153">
            <v>-0.13364967543951881</v>
          </cell>
          <cell r="C153">
            <v>-0.1233282923392853</v>
          </cell>
          <cell r="D153">
            <v>-1.0321383100233511E-2</v>
          </cell>
          <cell r="E153">
            <v>184.10266666666661</v>
          </cell>
        </row>
        <row r="154">
          <cell r="A154">
            <v>21.708497659403289</v>
          </cell>
          <cell r="B154">
            <v>-0.13750828747771629</v>
          </cell>
          <cell r="C154">
            <v>-0.12326108218878649</v>
          </cell>
          <cell r="D154">
            <v>-1.4247205288929801E-2</v>
          </cell>
          <cell r="E154">
            <v>134.268</v>
          </cell>
        </row>
        <row r="155">
          <cell r="A155">
            <v>21.703965225360019</v>
          </cell>
          <cell r="B155">
            <v>-0.1460748254901087</v>
          </cell>
          <cell r="C155">
            <v>-0.1330798327550565</v>
          </cell>
          <cell r="D155">
            <v>-1.29949927350522E-2</v>
          </cell>
          <cell r="E155">
            <v>425.03600000000012</v>
          </cell>
        </row>
        <row r="156">
          <cell r="A156">
            <v>21.702062687840041</v>
          </cell>
          <cell r="B156">
            <v>-0.13813553284096919</v>
          </cell>
          <cell r="C156">
            <v>-0.1238226742808958</v>
          </cell>
          <cell r="D156">
            <v>-1.431285856007339E-2</v>
          </cell>
          <cell r="E156">
            <v>187.04400000000001</v>
          </cell>
        </row>
        <row r="157">
          <cell r="A157">
            <v>21.69914638887877</v>
          </cell>
          <cell r="B157">
            <v>-0.13814921932343599</v>
          </cell>
          <cell r="C157">
            <v>-0.1237171039455069</v>
          </cell>
          <cell r="D157">
            <v>-1.443211537792909E-2</v>
          </cell>
          <cell r="E157">
            <v>185.0320000000001</v>
          </cell>
        </row>
        <row r="158">
          <cell r="A158">
            <v>21.616038057029531</v>
          </cell>
          <cell r="B158">
            <v>-0.13312334060029229</v>
          </cell>
          <cell r="C158">
            <v>-0.1229735418966825</v>
          </cell>
          <cell r="D158">
            <v>-1.01497987036098E-2</v>
          </cell>
          <cell r="E158">
            <v>235.46600000000009</v>
          </cell>
        </row>
        <row r="159">
          <cell r="A159">
            <v>21.614859844563998</v>
          </cell>
          <cell r="B159">
            <v>-0.14367539264634471</v>
          </cell>
          <cell r="C159">
            <v>-0.12936650267565131</v>
          </cell>
          <cell r="D159">
            <v>-1.4308889970693409E-2</v>
          </cell>
          <cell r="E159">
            <v>292.00000000000011</v>
          </cell>
        </row>
        <row r="160">
          <cell r="A160">
            <v>26.335281145838351</v>
          </cell>
          <cell r="B160">
            <v>-2.3108654750084941E-2</v>
          </cell>
          <cell r="C160">
            <v>-1.994802217633642E-3</v>
          </cell>
          <cell r="D160">
            <v>2.1113852532451301E-2</v>
          </cell>
          <cell r="E160">
            <v>671.81466666666654</v>
          </cell>
        </row>
        <row r="161">
          <cell r="A161">
            <v>25.363247894944941</v>
          </cell>
          <cell r="B161">
            <v>-4.2560677261970097E-2</v>
          </cell>
          <cell r="C161">
            <v>-3.1621721759452333E-2</v>
          </cell>
          <cell r="D161">
            <v>1.0938955502517779E-2</v>
          </cell>
          <cell r="E161">
            <v>765.34733333333315</v>
          </cell>
        </row>
        <row r="162">
          <cell r="A162">
            <v>25.382498229590681</v>
          </cell>
          <cell r="B162">
            <v>-4.2175445643045539E-2</v>
          </cell>
          <cell r="C162">
            <v>-3.2654072404251958E-2</v>
          </cell>
          <cell r="D162">
            <v>9.5213732387935748E-3</v>
          </cell>
          <cell r="E162">
            <v>241.08</v>
          </cell>
        </row>
        <row r="163">
          <cell r="A163">
            <v>26.221179079850039</v>
          </cell>
          <cell r="B163">
            <v>-2.539202926861828E-2</v>
          </cell>
          <cell r="C163">
            <v>-5.3752014502864614E-3</v>
          </cell>
          <cell r="D163">
            <v>2.001682781833182E-2</v>
          </cell>
          <cell r="E163">
            <v>671.84533333333309</v>
          </cell>
        </row>
        <row r="164">
          <cell r="A164">
            <v>27.956769164682811</v>
          </cell>
          <cell r="B164">
            <v>2.6042667060424331E-2</v>
          </cell>
          <cell r="C164">
            <v>4.9277436599321142E-2</v>
          </cell>
          <cell r="D164">
            <v>2.3234769538896811E-2</v>
          </cell>
          <cell r="E164">
            <v>862.68000000000006</v>
          </cell>
        </row>
        <row r="165">
          <cell r="A165">
            <v>27.896254902346119</v>
          </cell>
          <cell r="B165">
            <v>8.1290592109789506E-3</v>
          </cell>
          <cell r="C165">
            <v>1.948963190491227E-2</v>
          </cell>
          <cell r="D165">
            <v>1.136057269393332E-2</v>
          </cell>
          <cell r="E165">
            <v>232.38</v>
          </cell>
        </row>
        <row r="166">
          <cell r="A166">
            <v>27.833881637779601</v>
          </cell>
          <cell r="B166">
            <v>2.6708998649682989E-2</v>
          </cell>
          <cell r="C166">
            <v>5.6234617681041432E-2</v>
          </cell>
          <cell r="D166">
            <v>2.952561903135844E-2</v>
          </cell>
          <cell r="E166">
            <v>764.72666666666692</v>
          </cell>
        </row>
        <row r="167">
          <cell r="A167">
            <v>26.199229084736981</v>
          </cell>
          <cell r="B167">
            <v>-2.5831285640437351E-2</v>
          </cell>
          <cell r="C167">
            <v>-1.0665429928535929E-2</v>
          </cell>
          <cell r="D167">
            <v>1.516585571190142E-2</v>
          </cell>
          <cell r="E167">
            <v>241.04266666666661</v>
          </cell>
        </row>
        <row r="168">
          <cell r="A168">
            <v>26.58536608093473</v>
          </cell>
          <cell r="B168">
            <v>1.2899010699609409E-2</v>
          </cell>
          <cell r="C168">
            <v>2.1178170528156709E-2</v>
          </cell>
          <cell r="D168">
            <v>8.279159828547298E-3</v>
          </cell>
          <cell r="E168">
            <v>767.90733333333333</v>
          </cell>
        </row>
        <row r="169">
          <cell r="A169">
            <v>27.040605473929041</v>
          </cell>
          <cell r="B169">
            <v>2.374316052854078E-2</v>
          </cell>
          <cell r="C169">
            <v>3.6240747847723583E-2</v>
          </cell>
          <cell r="D169">
            <v>1.2497587319182791E-2</v>
          </cell>
          <cell r="E169">
            <v>235.51533333333339</v>
          </cell>
        </row>
        <row r="170">
          <cell r="A170">
            <v>26.616636646816222</v>
          </cell>
          <cell r="B170">
            <v>-1.860224438238792E-3</v>
          </cell>
          <cell r="C170">
            <v>1.9746745377314748E-2</v>
          </cell>
          <cell r="D170">
            <v>2.1606969815553548E-2</v>
          </cell>
          <cell r="E170">
            <v>764.72666666666692</v>
          </cell>
        </row>
        <row r="171">
          <cell r="A171">
            <v>27.179550103379679</v>
          </cell>
          <cell r="B171">
            <v>3.0024867322673399E-2</v>
          </cell>
          <cell r="C171">
            <v>4.0808467181395407E-2</v>
          </cell>
          <cell r="D171">
            <v>1.078359985872201E-2</v>
          </cell>
          <cell r="E171">
            <v>766.87066666666624</v>
          </cell>
        </row>
        <row r="172">
          <cell r="A172">
            <v>25.24241224985013</v>
          </cell>
          <cell r="B172">
            <v>-4.2527320415641348E-2</v>
          </cell>
          <cell r="C172">
            <v>-2.5285300681211789E-2</v>
          </cell>
          <cell r="D172">
            <v>1.724201973442956E-2</v>
          </cell>
          <cell r="E172">
            <v>764.59600000000034</v>
          </cell>
        </row>
        <row r="173">
          <cell r="A173">
            <v>27.447246572802829</v>
          </cell>
          <cell r="B173">
            <v>3.7740543242360758E-2</v>
          </cell>
          <cell r="C173">
            <v>4.9608824156504472E-2</v>
          </cell>
          <cell r="D173">
            <v>1.1868280914143711E-2</v>
          </cell>
          <cell r="E173">
            <v>766.9100000000002</v>
          </cell>
        </row>
        <row r="174">
          <cell r="A174">
            <v>26.202104881299139</v>
          </cell>
          <cell r="B174">
            <v>-2.2492434588181769E-2</v>
          </cell>
          <cell r="C174">
            <v>-4.8789319596397344E-3</v>
          </cell>
          <cell r="D174">
            <v>1.7613502628542041E-2</v>
          </cell>
          <cell r="E174">
            <v>293.09400000000022</v>
          </cell>
        </row>
        <row r="175">
          <cell r="A175">
            <v>25.720102308059989</v>
          </cell>
          <cell r="B175">
            <v>-2.386619686973248E-2</v>
          </cell>
          <cell r="C175">
            <v>-7.9473468023968132E-3</v>
          </cell>
          <cell r="D175">
            <v>1.591885006733567E-2</v>
          </cell>
          <cell r="E175">
            <v>764.88999999999965</v>
          </cell>
        </row>
        <row r="176">
          <cell r="A176">
            <v>25.066179813640801</v>
          </cell>
          <cell r="B176">
            <v>-4.6035096763426778E-2</v>
          </cell>
          <cell r="C176">
            <v>-3.4417627680228068E-2</v>
          </cell>
          <cell r="D176">
            <v>1.161746908319871E-2</v>
          </cell>
          <cell r="E176">
            <v>864.56333333333293</v>
          </cell>
        </row>
        <row r="177">
          <cell r="A177">
            <v>26.49956878399701</v>
          </cell>
          <cell r="B177">
            <v>-1.9820982406623781E-2</v>
          </cell>
          <cell r="C177">
            <v>-2.6388657954748238E-3</v>
          </cell>
          <cell r="D177">
            <v>1.7182116611148952E-2</v>
          </cell>
          <cell r="E177">
            <v>232.25399999999999</v>
          </cell>
        </row>
        <row r="178">
          <cell r="A178">
            <v>28.024037757521182</v>
          </cell>
          <cell r="B178">
            <v>3.092562867435196E-2</v>
          </cell>
          <cell r="C178">
            <v>6.4454186420970644E-2</v>
          </cell>
          <cell r="D178">
            <v>3.3528557746618677E-2</v>
          </cell>
          <cell r="E178">
            <v>766.68399999999951</v>
          </cell>
        </row>
        <row r="179">
          <cell r="A179">
            <v>25.07929835939262</v>
          </cell>
          <cell r="B179">
            <v>-4.0328213358573159E-2</v>
          </cell>
          <cell r="C179">
            <v>-3.006065970721309E-2</v>
          </cell>
          <cell r="D179">
            <v>1.026755365136007E-2</v>
          </cell>
          <cell r="E179">
            <v>589.1</v>
          </cell>
        </row>
        <row r="180">
          <cell r="A180">
            <v>28.145161529069469</v>
          </cell>
          <cell r="B180">
            <v>4.8435112553279112E-2</v>
          </cell>
          <cell r="C180">
            <v>6.2008664489394592E-2</v>
          </cell>
          <cell r="D180">
            <v>1.357355193611549E-2</v>
          </cell>
          <cell r="E180">
            <v>501.33466666666652</v>
          </cell>
        </row>
        <row r="181">
          <cell r="A181">
            <v>27.588291217974199</v>
          </cell>
          <cell r="B181">
            <v>2.4703253663003188E-2</v>
          </cell>
          <cell r="C181">
            <v>4.7958834201183673E-2</v>
          </cell>
          <cell r="D181">
            <v>2.3255580538180481E-2</v>
          </cell>
          <cell r="E181">
            <v>660.97066666666672</v>
          </cell>
        </row>
        <row r="182">
          <cell r="A182">
            <v>27.875261256625102</v>
          </cell>
          <cell r="B182">
            <v>3.4063778721314032E-2</v>
          </cell>
          <cell r="C182">
            <v>4.941327689272243E-2</v>
          </cell>
          <cell r="D182">
            <v>1.5349498171408399E-2</v>
          </cell>
          <cell r="E182">
            <v>573.01333333333321</v>
          </cell>
        </row>
        <row r="183">
          <cell r="A183">
            <v>27.469699384686361</v>
          </cell>
          <cell r="B183">
            <v>3.7172710970436569E-2</v>
          </cell>
          <cell r="C183">
            <v>4.78469383487189E-2</v>
          </cell>
          <cell r="D183">
            <v>1.067422737828233E-2</v>
          </cell>
          <cell r="E183">
            <v>585.28266666666673</v>
          </cell>
        </row>
        <row r="184">
          <cell r="A184">
            <v>25.969699035566311</v>
          </cell>
          <cell r="B184">
            <v>-3.0424568513753081E-2</v>
          </cell>
          <cell r="C184">
            <v>-2.89396884169398E-2</v>
          </cell>
          <cell r="D184">
            <v>1.4848800968132771E-3</v>
          </cell>
          <cell r="E184">
            <v>234.78399999999991</v>
          </cell>
        </row>
        <row r="185">
          <cell r="A185">
            <v>27.893376393725781</v>
          </cell>
          <cell r="B185">
            <v>2.4746671183801309E-2</v>
          </cell>
          <cell r="C185">
            <v>5.6650479855940593E-2</v>
          </cell>
          <cell r="D185">
            <v>3.1903808672139281E-2</v>
          </cell>
          <cell r="E185">
            <v>431.0079999999997</v>
          </cell>
        </row>
        <row r="186">
          <cell r="A186">
            <v>27.905760762903981</v>
          </cell>
          <cell r="B186">
            <v>5.0956058945730409E-2</v>
          </cell>
          <cell r="C186">
            <v>6.4437659339834891E-2</v>
          </cell>
          <cell r="D186">
            <v>1.348160039410448E-2</v>
          </cell>
          <cell r="E186">
            <v>767.90733333333333</v>
          </cell>
        </row>
        <row r="187">
          <cell r="A187">
            <v>27.39792690814896</v>
          </cell>
          <cell r="B187">
            <v>2.0396156745906859E-2</v>
          </cell>
          <cell r="C187">
            <v>3.647282807653119E-2</v>
          </cell>
          <cell r="D187">
            <v>1.6076671330624331E-2</v>
          </cell>
          <cell r="E187">
            <v>769.30000000000007</v>
          </cell>
        </row>
        <row r="188">
          <cell r="A188">
            <v>26.417214694601629</v>
          </cell>
          <cell r="B188">
            <v>1.372941374733495E-3</v>
          </cell>
          <cell r="C188">
            <v>1.0982424561550561E-2</v>
          </cell>
          <cell r="D188">
            <v>9.6094831868170621E-3</v>
          </cell>
          <cell r="E188">
            <v>500.3</v>
          </cell>
        </row>
        <row r="189">
          <cell r="A189">
            <v>25.573969768257282</v>
          </cell>
          <cell r="B189">
            <v>-3.7842483627743437E-2</v>
          </cell>
          <cell r="C189">
            <v>-1.5220763818362621E-2</v>
          </cell>
          <cell r="D189">
            <v>2.2621719809380821E-2</v>
          </cell>
          <cell r="E189">
            <v>671.66133333333289</v>
          </cell>
        </row>
        <row r="190">
          <cell r="A190">
            <v>25.822686341149819</v>
          </cell>
          <cell r="B190">
            <v>-3.3366540137351408E-2</v>
          </cell>
          <cell r="C190">
            <v>-2.08621163027575E-2</v>
          </cell>
          <cell r="D190">
            <v>1.250442383459391E-2</v>
          </cell>
          <cell r="E190">
            <v>232.25399999999999</v>
          </cell>
        </row>
        <row r="191">
          <cell r="A191">
            <v>26.702051277802571</v>
          </cell>
          <cell r="B191">
            <v>-1.5768966671412921E-2</v>
          </cell>
          <cell r="C191">
            <v>2.8536602605886978E-3</v>
          </cell>
          <cell r="D191">
            <v>1.8622626932001621E-2</v>
          </cell>
          <cell r="E191">
            <v>241.04266666666661</v>
          </cell>
        </row>
        <row r="192">
          <cell r="A192">
            <v>27.63866929854656</v>
          </cell>
          <cell r="B192">
            <v>4.3257820771961497E-2</v>
          </cell>
          <cell r="C192">
            <v>5.5471211136095898E-2</v>
          </cell>
          <cell r="D192">
            <v>1.2213390364134409E-2</v>
          </cell>
          <cell r="E192">
            <v>768.11666666666679</v>
          </cell>
        </row>
        <row r="193">
          <cell r="A193">
            <v>27.724825490780571</v>
          </cell>
          <cell r="B193">
            <v>2.3369212878980389E-2</v>
          </cell>
          <cell r="C193">
            <v>5.5796147066442432E-2</v>
          </cell>
          <cell r="D193">
            <v>3.2426934187462043E-2</v>
          </cell>
          <cell r="E193">
            <v>768.43200000000013</v>
          </cell>
        </row>
        <row r="194">
          <cell r="A194">
            <v>27.33338104235915</v>
          </cell>
          <cell r="B194">
            <v>1.130295621869685E-2</v>
          </cell>
          <cell r="C194">
            <v>4.2095051444018157E-2</v>
          </cell>
          <cell r="D194">
            <v>3.0792095225321298E-2</v>
          </cell>
          <cell r="E194">
            <v>671.90666666666675</v>
          </cell>
        </row>
        <row r="195">
          <cell r="A195">
            <v>27.867250723209349</v>
          </cell>
          <cell r="B195">
            <v>2.79570215094492E-2</v>
          </cell>
          <cell r="C195">
            <v>5.9057184448721427E-2</v>
          </cell>
          <cell r="D195">
            <v>3.110016293927223E-2</v>
          </cell>
          <cell r="E195">
            <v>766.6186666666664</v>
          </cell>
        </row>
        <row r="196">
          <cell r="A196">
            <v>27.66891732443608</v>
          </cell>
          <cell r="B196">
            <v>2.295819776439819E-2</v>
          </cell>
          <cell r="C196">
            <v>5.2884812948595379E-2</v>
          </cell>
          <cell r="D196">
            <v>2.9926615184197189E-2</v>
          </cell>
          <cell r="E196">
            <v>766.7166666666667</v>
          </cell>
        </row>
        <row r="197">
          <cell r="A197">
            <v>27.910173599562711</v>
          </cell>
          <cell r="B197">
            <v>2.884207611811606E-2</v>
          </cell>
          <cell r="C197">
            <v>6.0845209565065748E-2</v>
          </cell>
          <cell r="D197">
            <v>3.2003133446949689E-2</v>
          </cell>
          <cell r="E197">
            <v>766.5533333333334</v>
          </cell>
        </row>
        <row r="198">
          <cell r="A198">
            <v>25.41649303261131</v>
          </cell>
          <cell r="B198">
            <v>-3.5505782249812767E-2</v>
          </cell>
          <cell r="C198">
            <v>-2.2980339082894721E-2</v>
          </cell>
          <cell r="D198">
            <v>1.252544316691805E-2</v>
          </cell>
          <cell r="E198">
            <v>762.9293333333336</v>
          </cell>
        </row>
        <row r="199">
          <cell r="A199">
            <v>26.030561974467052</v>
          </cell>
          <cell r="B199">
            <v>-8.356062354493151E-3</v>
          </cell>
          <cell r="C199">
            <v>-1.0394700143229771E-3</v>
          </cell>
          <cell r="D199">
            <v>7.3165923401701744E-3</v>
          </cell>
          <cell r="E199">
            <v>492.07200000000012</v>
          </cell>
        </row>
        <row r="200">
          <cell r="A200">
            <v>28.07890502423686</v>
          </cell>
          <cell r="B200">
            <v>5.5946505815190228E-2</v>
          </cell>
          <cell r="C200">
            <v>6.9860985004955786E-2</v>
          </cell>
          <cell r="D200">
            <v>1.391447918976556E-2</v>
          </cell>
          <cell r="E200">
            <v>768.11666666666679</v>
          </cell>
        </row>
        <row r="201">
          <cell r="A201">
            <v>27.597313025831721</v>
          </cell>
          <cell r="B201">
            <v>2.2105450062772911E-2</v>
          </cell>
          <cell r="C201">
            <v>4.9874768365532611E-2</v>
          </cell>
          <cell r="D201">
            <v>2.77693183027597E-2</v>
          </cell>
          <cell r="E201">
            <v>671.63066666666657</v>
          </cell>
        </row>
        <row r="202">
          <cell r="A202">
            <v>27.426273648889531</v>
          </cell>
          <cell r="B202">
            <v>1.4696017977239659E-2</v>
          </cell>
          <cell r="C202">
            <v>4.6586101577378913E-2</v>
          </cell>
          <cell r="D202">
            <v>3.1890083600139237E-2</v>
          </cell>
          <cell r="E202">
            <v>764.62866666666707</v>
          </cell>
        </row>
        <row r="203">
          <cell r="A203">
            <v>27.222780016426341</v>
          </cell>
          <cell r="B203">
            <v>-5.348307566402366E-3</v>
          </cell>
          <cell r="C203">
            <v>1.690911188099092E-2</v>
          </cell>
          <cell r="D203">
            <v>2.2257419447393279E-2</v>
          </cell>
          <cell r="E203">
            <v>241.08</v>
          </cell>
        </row>
        <row r="204">
          <cell r="A204">
            <v>27.61681891278246</v>
          </cell>
          <cell r="B204">
            <v>2.1123618313854009E-2</v>
          </cell>
          <cell r="C204">
            <v>5.2255508906417072E-2</v>
          </cell>
          <cell r="D204">
            <v>3.113189059256306E-2</v>
          </cell>
          <cell r="E204">
            <v>766.85400000000004</v>
          </cell>
        </row>
        <row r="205">
          <cell r="A205">
            <v>27.583342758445831</v>
          </cell>
          <cell r="B205">
            <v>2.1221856776125061E-2</v>
          </cell>
          <cell r="C205">
            <v>5.0319753027926399E-2</v>
          </cell>
          <cell r="D205">
            <v>2.9097896251801338E-2</v>
          </cell>
          <cell r="E205">
            <v>766.5533333333334</v>
          </cell>
        </row>
        <row r="206">
          <cell r="A206">
            <v>27.34687724008694</v>
          </cell>
          <cell r="B206">
            <v>1.0076018062289629E-2</v>
          </cell>
          <cell r="C206">
            <v>4.1914391678167393E-2</v>
          </cell>
          <cell r="D206">
            <v>3.1838373615877748E-2</v>
          </cell>
          <cell r="E206">
            <v>432.32133333333331</v>
          </cell>
        </row>
        <row r="207">
          <cell r="A207">
            <v>26.80775436353904</v>
          </cell>
          <cell r="B207">
            <v>1.823589432679586E-2</v>
          </cell>
          <cell r="C207">
            <v>2.664669279003587E-2</v>
          </cell>
          <cell r="D207">
            <v>8.4107984632400164E-3</v>
          </cell>
          <cell r="E207">
            <v>585.25400000000002</v>
          </cell>
        </row>
        <row r="208">
          <cell r="A208">
            <v>25.655587594271381</v>
          </cell>
          <cell r="B208">
            <v>-2.177080039226743E-2</v>
          </cell>
          <cell r="C208">
            <v>-2.1523881245324179E-2</v>
          </cell>
          <cell r="D208">
            <v>2.469191469432544E-4</v>
          </cell>
          <cell r="E208">
            <v>282.27</v>
          </cell>
        </row>
        <row r="209">
          <cell r="A209">
            <v>27.75667695409884</v>
          </cell>
          <cell r="B209">
            <v>2.549214307758612E-2</v>
          </cell>
          <cell r="C209">
            <v>3.9845920190639469E-2</v>
          </cell>
          <cell r="D209">
            <v>1.435377711305335E-2</v>
          </cell>
          <cell r="E209">
            <v>291.00000000000011</v>
          </cell>
        </row>
        <row r="210">
          <cell r="A210">
            <v>27.197761535703329</v>
          </cell>
          <cell r="B210">
            <v>2.616977968815954E-2</v>
          </cell>
          <cell r="C210">
            <v>3.4057426641255092E-2</v>
          </cell>
          <cell r="D210">
            <v>7.8876469530955486E-3</v>
          </cell>
          <cell r="E210">
            <v>418.03733333333321</v>
          </cell>
        </row>
        <row r="211">
          <cell r="A211">
            <v>25.540221615751541</v>
          </cell>
          <cell r="B211">
            <v>-2.6171242624862211E-2</v>
          </cell>
          <cell r="C211">
            <v>-2.171736812609339E-2</v>
          </cell>
          <cell r="D211">
            <v>4.4538744987688249E-3</v>
          </cell>
          <cell r="E211">
            <v>660.78399999999988</v>
          </cell>
        </row>
        <row r="212">
          <cell r="A212">
            <v>25.056089002129781</v>
          </cell>
          <cell r="B212">
            <v>-3.2095837895453262E-2</v>
          </cell>
          <cell r="C212">
            <v>-2.8945532088253369E-2</v>
          </cell>
          <cell r="D212">
            <v>3.1503058071998889E-3</v>
          </cell>
          <cell r="E212">
            <v>350.35000000000008</v>
          </cell>
        </row>
        <row r="213">
          <cell r="A213">
            <v>25.98068740103415</v>
          </cell>
          <cell r="B213">
            <v>-2.8306879322854771E-2</v>
          </cell>
          <cell r="C213">
            <v>-2.3978102829958981E-2</v>
          </cell>
          <cell r="D213">
            <v>4.3287764928957861E-3</v>
          </cell>
          <cell r="E213">
            <v>235.19</v>
          </cell>
        </row>
        <row r="214">
          <cell r="A214">
            <v>28.184415450533159</v>
          </cell>
          <cell r="B214">
            <v>1.389563711890507E-2</v>
          </cell>
          <cell r="C214">
            <v>2.4053136537640581E-2</v>
          </cell>
          <cell r="D214">
            <v>1.015749941873551E-2</v>
          </cell>
          <cell r="E214">
            <v>671.66133333333289</v>
          </cell>
        </row>
        <row r="215">
          <cell r="A215">
            <v>26.80901120687157</v>
          </cell>
          <cell r="B215">
            <v>-2.2322906169239959E-2</v>
          </cell>
          <cell r="C215">
            <v>-2.1303065262898789E-2</v>
          </cell>
          <cell r="D215">
            <v>1.0198409063411659E-3</v>
          </cell>
          <cell r="E215">
            <v>288.19200000000001</v>
          </cell>
        </row>
        <row r="216">
          <cell r="A216">
            <v>26.00833649771803</v>
          </cell>
          <cell r="B216">
            <v>-2.1939649638360609E-2</v>
          </cell>
          <cell r="C216">
            <v>-2.1456349598830089E-2</v>
          </cell>
          <cell r="D216">
            <v>4.833000395305237E-4</v>
          </cell>
          <cell r="E216">
            <v>286.45133333333342</v>
          </cell>
        </row>
        <row r="217">
          <cell r="A217">
            <v>26.10863505285716</v>
          </cell>
          <cell r="B217">
            <v>-2.2953739469846149E-2</v>
          </cell>
          <cell r="C217">
            <v>-2.1728498477041482E-2</v>
          </cell>
          <cell r="D217">
            <v>1.2252409928046671E-3</v>
          </cell>
          <cell r="E217">
            <v>140.6999999999999</v>
          </cell>
        </row>
        <row r="218">
          <cell r="A218">
            <v>26.736114793596219</v>
          </cell>
          <cell r="B218">
            <v>1.539901312276926E-2</v>
          </cell>
          <cell r="C218">
            <v>-4.1163529658206077E-3</v>
          </cell>
          <cell r="D218">
            <v>-1.9515366088589871E-2</v>
          </cell>
          <cell r="E218">
            <v>234.90000000000009</v>
          </cell>
        </row>
        <row r="219">
          <cell r="A219">
            <v>25.199611825963611</v>
          </cell>
          <cell r="B219">
            <v>-2.7239373418023089E-2</v>
          </cell>
          <cell r="C219">
            <v>-3.3062406466458902E-2</v>
          </cell>
          <cell r="D219">
            <v>-5.8230330484358092E-3</v>
          </cell>
          <cell r="E219">
            <v>232.65000000000009</v>
          </cell>
        </row>
        <row r="220">
          <cell r="A220">
            <v>25.945825989688</v>
          </cell>
          <cell r="B220">
            <v>-2.1909727923365489E-2</v>
          </cell>
          <cell r="C220">
            <v>-2.1468316857946139E-2</v>
          </cell>
          <cell r="D220">
            <v>4.4141106541934969E-4</v>
          </cell>
          <cell r="E220">
            <v>286.43133333333321</v>
          </cell>
        </row>
        <row r="221">
          <cell r="A221">
            <v>26.162939764030138</v>
          </cell>
          <cell r="B221">
            <v>-2.201365311421916E-2</v>
          </cell>
          <cell r="C221">
            <v>-2.1426751737503219E-2</v>
          </cell>
          <cell r="D221">
            <v>5.8690137671594741E-4</v>
          </cell>
          <cell r="E221">
            <v>286.41599999999988</v>
          </cell>
        </row>
        <row r="222">
          <cell r="A222">
            <v>27.86918625970409</v>
          </cell>
          <cell r="B222">
            <v>4.7243619611493058E-2</v>
          </cell>
          <cell r="C222">
            <v>2.3981457559206339E-2</v>
          </cell>
          <cell r="D222">
            <v>-2.326216205228672E-2</v>
          </cell>
          <cell r="E222">
            <v>234.90000000000009</v>
          </cell>
        </row>
        <row r="223">
          <cell r="A223">
            <v>25.782089629263599</v>
          </cell>
          <cell r="B223">
            <v>-1.065528081361105E-2</v>
          </cell>
          <cell r="C223">
            <v>-1.499494735854936E-2</v>
          </cell>
          <cell r="D223">
            <v>-4.3396665449383096E-3</v>
          </cell>
          <cell r="E223">
            <v>232.68600000000001</v>
          </cell>
        </row>
        <row r="224">
          <cell r="A224">
            <v>27.532752514701929</v>
          </cell>
          <cell r="B224">
            <v>1.1679312988664399E-2</v>
          </cell>
          <cell r="C224">
            <v>4.54143714682997E-2</v>
          </cell>
          <cell r="D224">
            <v>3.3735058479635302E-2</v>
          </cell>
          <cell r="E224">
            <v>589.0086666666665</v>
          </cell>
        </row>
        <row r="225">
          <cell r="A225">
            <v>27.08475804672733</v>
          </cell>
          <cell r="B225">
            <v>2.3837308124893299E-2</v>
          </cell>
          <cell r="C225">
            <v>3.2186531169430578E-2</v>
          </cell>
          <cell r="D225">
            <v>8.349223044537276E-3</v>
          </cell>
          <cell r="E225">
            <v>418.26466666666681</v>
          </cell>
        </row>
        <row r="226">
          <cell r="A226">
            <v>25.660171101872422</v>
          </cell>
          <cell r="B226">
            <v>-2.177299436592783E-2</v>
          </cell>
          <cell r="C226">
            <v>-2.1523003760484421E-2</v>
          </cell>
          <cell r="D226">
            <v>2.499906054434127E-4</v>
          </cell>
          <cell r="E226">
            <v>286.35600000000011</v>
          </cell>
        </row>
        <row r="227">
          <cell r="A227">
            <v>28.077196779440371</v>
          </cell>
          <cell r="B227">
            <v>1.1750010925691501E-2</v>
          </cell>
          <cell r="C227">
            <v>2.111854234078147E-2</v>
          </cell>
          <cell r="D227">
            <v>9.3685314150899722E-3</v>
          </cell>
          <cell r="E227">
            <v>348.98599999999999</v>
          </cell>
        </row>
        <row r="228">
          <cell r="A228">
            <v>26.078918124005899</v>
          </cell>
          <cell r="B228">
            <v>-1.093255904323793E-2</v>
          </cell>
          <cell r="C228">
            <v>-4.4338654160282079E-3</v>
          </cell>
          <cell r="D228">
            <v>6.4986936272097206E-3</v>
          </cell>
          <cell r="E228">
            <v>660.56666666666638</v>
          </cell>
        </row>
        <row r="229">
          <cell r="A229">
            <v>27.693691857236381</v>
          </cell>
          <cell r="B229">
            <v>4.0754315085015369E-3</v>
          </cell>
          <cell r="C229">
            <v>1.168838918580112E-2</v>
          </cell>
          <cell r="D229">
            <v>7.6129576772995811E-3</v>
          </cell>
          <cell r="E229">
            <v>349.16599999999983</v>
          </cell>
        </row>
        <row r="230">
          <cell r="A230">
            <v>26.437834959137309</v>
          </cell>
          <cell r="B230">
            <v>2.571765594456348E-3</v>
          </cell>
          <cell r="C230">
            <v>1.3119365287540709E-2</v>
          </cell>
          <cell r="D230">
            <v>1.054759969308436E-2</v>
          </cell>
          <cell r="E230">
            <v>662.9513333333332</v>
          </cell>
        </row>
        <row r="231">
          <cell r="A231">
            <v>27.565565728742438</v>
          </cell>
          <cell r="B231">
            <v>3.5004797332306582E-2</v>
          </cell>
          <cell r="C231">
            <v>4.3721186234844542E-2</v>
          </cell>
          <cell r="D231">
            <v>8.7163889025379596E-3</v>
          </cell>
          <cell r="E231">
            <v>418.38533333333311</v>
          </cell>
        </row>
        <row r="232">
          <cell r="A232">
            <v>27.958853815061708</v>
          </cell>
          <cell r="B232">
            <v>4.1899400794462839E-2</v>
          </cell>
          <cell r="C232">
            <v>5.1147007209562702E-2</v>
          </cell>
          <cell r="D232">
            <v>9.2476064150998627E-3</v>
          </cell>
          <cell r="E232">
            <v>589.0086666666665</v>
          </cell>
        </row>
        <row r="233">
          <cell r="A233">
            <v>25.907193646881169</v>
          </cell>
          <cell r="B233">
            <v>-3.1675406616976431E-2</v>
          </cell>
          <cell r="C233">
            <v>-2.953818476409353E-2</v>
          </cell>
          <cell r="D233">
            <v>2.1372218528829009E-3</v>
          </cell>
          <cell r="E233">
            <v>349.12266666666648</v>
          </cell>
        </row>
        <row r="234">
          <cell r="A234">
            <v>25.658792579517868</v>
          </cell>
          <cell r="B234">
            <v>-2.1772334512819819E-2</v>
          </cell>
          <cell r="C234">
            <v>-2.1523267670261099E-2</v>
          </cell>
          <cell r="D234">
            <v>2.4906684255871989E-4</v>
          </cell>
          <cell r="E234">
            <v>284.81200000000013</v>
          </cell>
        </row>
        <row r="235">
          <cell r="A235">
            <v>25.971916863408211</v>
          </cell>
          <cell r="B235">
            <v>-2.846321032352048E-2</v>
          </cell>
          <cell r="C235">
            <v>-2.4227142870359271E-2</v>
          </cell>
          <cell r="D235">
            <v>4.2360674531612104E-3</v>
          </cell>
          <cell r="E235">
            <v>235.19</v>
          </cell>
        </row>
        <row r="236">
          <cell r="A236">
            <v>26.798888814626391</v>
          </cell>
          <cell r="B236">
            <v>-2.2318060914492011E-2</v>
          </cell>
          <cell r="C236">
            <v>-2.1305003133741469E-2</v>
          </cell>
          <cell r="D236">
            <v>1.0130577807505379E-3</v>
          </cell>
          <cell r="E236">
            <v>286.37133333333338</v>
          </cell>
        </row>
        <row r="237">
          <cell r="A237">
            <v>26.464348688917571</v>
          </cell>
          <cell r="B237">
            <v>-2.0525795829134271E-2</v>
          </cell>
          <cell r="C237">
            <v>-1.5814605702313331E-2</v>
          </cell>
          <cell r="D237">
            <v>4.7111901268209466E-3</v>
          </cell>
          <cell r="E237">
            <v>671.66133333333289</v>
          </cell>
        </row>
        <row r="238">
          <cell r="A238">
            <v>27.14893646151523</v>
          </cell>
          <cell r="B238">
            <v>2.7143349879787039E-2</v>
          </cell>
          <cell r="C238">
            <v>6.198753344790941E-3</v>
          </cell>
          <cell r="D238">
            <v>-2.0944596534996099E-2</v>
          </cell>
          <cell r="E238">
            <v>234.90000000000009</v>
          </cell>
        </row>
        <row r="239">
          <cell r="A239">
            <v>27.795366684504781</v>
          </cell>
          <cell r="B239">
            <v>3.1913567731469437E-2</v>
          </cell>
          <cell r="C239">
            <v>4.6273452634178321E-2</v>
          </cell>
          <cell r="D239">
            <v>1.435988490270888E-2</v>
          </cell>
          <cell r="E239">
            <v>863.19999999999948</v>
          </cell>
        </row>
        <row r="240">
          <cell r="A240">
            <v>27.52981213270305</v>
          </cell>
          <cell r="B240">
            <v>2.065164754665268E-2</v>
          </cell>
          <cell r="C240">
            <v>4.9172085389490382E-2</v>
          </cell>
          <cell r="D240">
            <v>2.8520437842837702E-2</v>
          </cell>
          <cell r="E240">
            <v>671.63066666666657</v>
          </cell>
        </row>
        <row r="241">
          <cell r="A241">
            <v>28.198170100726099</v>
          </cell>
          <cell r="B241">
            <v>4.2299879000643352E-2</v>
          </cell>
          <cell r="C241">
            <v>5.7016151144593581E-2</v>
          </cell>
          <cell r="D241">
            <v>1.471627214395024E-2</v>
          </cell>
          <cell r="E241">
            <v>660.53666666666663</v>
          </cell>
        </row>
        <row r="242">
          <cell r="A242">
            <v>27.699518438160769</v>
          </cell>
          <cell r="B242">
            <v>4.2431276371505143E-2</v>
          </cell>
          <cell r="C242">
            <v>2.0021105225894099E-2</v>
          </cell>
          <cell r="D242">
            <v>-2.241017114561104E-2</v>
          </cell>
          <cell r="E242">
            <v>234.90000000000009</v>
          </cell>
        </row>
        <row r="243">
          <cell r="A243">
            <v>25.29195610011249</v>
          </cell>
          <cell r="B243">
            <v>-3.3888993244520271E-2</v>
          </cell>
          <cell r="C243">
            <v>-2.1445916697073759E-2</v>
          </cell>
          <cell r="D243">
            <v>1.2443076547446511E-2</v>
          </cell>
          <cell r="E243">
            <v>764.69399999999962</v>
          </cell>
        </row>
        <row r="244">
          <cell r="A244">
            <v>25.292571355130018</v>
          </cell>
          <cell r="B244">
            <v>-2.972661434758659E-2</v>
          </cell>
          <cell r="C244">
            <v>-2.944064833263129E-2</v>
          </cell>
          <cell r="D244">
            <v>2.859660149552995E-4</v>
          </cell>
          <cell r="E244">
            <v>177.6879999999999</v>
          </cell>
        </row>
        <row r="245">
          <cell r="A245">
            <v>26.819457345715879</v>
          </cell>
          <cell r="B245">
            <v>-2.232790639078909E-2</v>
          </cell>
          <cell r="C245">
            <v>-2.130106541272557E-2</v>
          </cell>
          <cell r="D245">
            <v>1.0268409780635199E-3</v>
          </cell>
          <cell r="E245">
            <v>286.39133333333342</v>
          </cell>
        </row>
        <row r="246">
          <cell r="A246">
            <v>27.985658461950521</v>
          </cell>
          <cell r="B246">
            <v>4.144742420580981E-2</v>
          </cell>
          <cell r="C246">
            <v>5.0988272699433249E-2</v>
          </cell>
          <cell r="D246">
            <v>9.5408484936234383E-3</v>
          </cell>
          <cell r="E246">
            <v>503.64333333333332</v>
          </cell>
        </row>
        <row r="247">
          <cell r="A247">
            <v>26.69204210046048</v>
          </cell>
          <cell r="B247">
            <v>9.413104556900604E-3</v>
          </cell>
          <cell r="C247">
            <v>2.091844913935665E-2</v>
          </cell>
          <cell r="D247">
            <v>1.1505344582456041E-2</v>
          </cell>
          <cell r="E247">
            <v>660.44999999999993</v>
          </cell>
        </row>
        <row r="248">
          <cell r="A248">
            <v>25.954306422017201</v>
          </cell>
          <cell r="B248">
            <v>-2.1913787226148122E-2</v>
          </cell>
          <cell r="C248">
            <v>-2.1466693330409761E-2</v>
          </cell>
          <cell r="D248">
            <v>4.4709389573835412E-4</v>
          </cell>
          <cell r="E248">
            <v>286.37599999999998</v>
          </cell>
        </row>
        <row r="249">
          <cell r="A249">
            <v>26.279920104814298</v>
          </cell>
          <cell r="B249">
            <v>-2.4216522423635589E-2</v>
          </cell>
          <cell r="C249">
            <v>-2.2230501065064339E-2</v>
          </cell>
          <cell r="D249">
            <v>1.9860213585712501E-3</v>
          </cell>
          <cell r="E249">
            <v>289.20199999999988</v>
          </cell>
        </row>
        <row r="250">
          <cell r="A250">
            <v>25.141073060081759</v>
          </cell>
          <cell r="B250">
            <v>-2.9489075682943511E-2</v>
          </cell>
          <cell r="C250">
            <v>-2.89248831783647E-2</v>
          </cell>
          <cell r="D250">
            <v>5.6419250457880737E-4</v>
          </cell>
          <cell r="E250">
            <v>425.94600000000003</v>
          </cell>
        </row>
        <row r="251">
          <cell r="A251">
            <v>26.735846293893179</v>
          </cell>
          <cell r="B251">
            <v>-2.2287884542592309E-2</v>
          </cell>
          <cell r="C251">
            <v>-2.1317072243475489E-2</v>
          </cell>
          <cell r="D251">
            <v>9.7081229911682651E-4</v>
          </cell>
          <cell r="E251">
            <v>286.39133333333342</v>
          </cell>
        </row>
        <row r="252">
          <cell r="A252">
            <v>26.977853734586649</v>
          </cell>
          <cell r="B252">
            <v>1.6982579596779769E-2</v>
          </cell>
          <cell r="C252">
            <v>2.9931753182803719E-2</v>
          </cell>
          <cell r="D252">
            <v>1.294917358602396E-2</v>
          </cell>
          <cell r="E252">
            <v>660.70466666666618</v>
          </cell>
        </row>
        <row r="253">
          <cell r="A253">
            <v>25.125504297196379</v>
          </cell>
          <cell r="B253">
            <v>-3.9284789635639937E-2</v>
          </cell>
          <cell r="C253">
            <v>-2.8658973373815819E-2</v>
          </cell>
          <cell r="D253">
            <v>1.0625816261824119E-2</v>
          </cell>
          <cell r="E253">
            <v>589.1</v>
          </cell>
        </row>
        <row r="254">
          <cell r="A254">
            <v>25.58846436257403</v>
          </cell>
          <cell r="B254">
            <v>-2.1738670718846199E-2</v>
          </cell>
          <cell r="C254">
            <v>-2.153673158251938E-2</v>
          </cell>
          <cell r="D254">
            <v>2.019391363268265E-4</v>
          </cell>
          <cell r="E254">
            <v>286.27133333333319</v>
          </cell>
        </row>
        <row r="255">
          <cell r="A255">
            <v>25.089787630291902</v>
          </cell>
          <cell r="B255">
            <v>-3.0360684498551071E-2</v>
          </cell>
          <cell r="C255">
            <v>-3.6372346316179832E-2</v>
          </cell>
          <cell r="D255">
            <v>-6.0116618176287648E-3</v>
          </cell>
          <cell r="E255">
            <v>232.63200000000009</v>
          </cell>
        </row>
        <row r="256">
          <cell r="A256">
            <v>27.73382244451933</v>
          </cell>
          <cell r="B256">
            <v>3.6786534416047352E-2</v>
          </cell>
          <cell r="C256">
            <v>5.3873502445414161E-2</v>
          </cell>
          <cell r="D256">
            <v>1.7086968029366819E-2</v>
          </cell>
          <cell r="E256">
            <v>662.9513333333332</v>
          </cell>
        </row>
        <row r="257">
          <cell r="A257">
            <v>25.245156190841161</v>
          </cell>
          <cell r="B257">
            <v>-4.0609496407693083E-2</v>
          </cell>
          <cell r="C257">
            <v>-2.7606447108762179E-2</v>
          </cell>
          <cell r="D257">
            <v>1.30030492989309E-2</v>
          </cell>
          <cell r="E257">
            <v>575.76533333333339</v>
          </cell>
        </row>
        <row r="258">
          <cell r="A258">
            <v>25.761880070492811</v>
          </cell>
          <cell r="B258">
            <v>-3.2805342218911453E-2</v>
          </cell>
          <cell r="C258">
            <v>-2.9290108231851221E-2</v>
          </cell>
          <cell r="D258">
            <v>3.5152339870602278E-3</v>
          </cell>
          <cell r="E258">
            <v>235.19</v>
          </cell>
        </row>
        <row r="259">
          <cell r="A259">
            <v>25.276900408021781</v>
          </cell>
          <cell r="B259">
            <v>-2.600373757765246E-2</v>
          </cell>
          <cell r="C259">
            <v>-2.457956215763139E-2</v>
          </cell>
          <cell r="D259">
            <v>1.424175420021073E-3</v>
          </cell>
          <cell r="E259">
            <v>299.32733333333351</v>
          </cell>
        </row>
        <row r="260">
          <cell r="A260">
            <v>26.14060289364004</v>
          </cell>
          <cell r="B260">
            <v>-2.2002961192320619E-2</v>
          </cell>
          <cell r="C260">
            <v>-2.1431027996395111E-2</v>
          </cell>
          <cell r="D260">
            <v>5.7193319592550862E-4</v>
          </cell>
          <cell r="E260">
            <v>281.75266666666653</v>
          </cell>
        </row>
        <row r="261">
          <cell r="A261">
            <v>25.224759685637402</v>
          </cell>
          <cell r="B261">
            <v>-4.2331776405961349E-2</v>
          </cell>
          <cell r="C261">
            <v>-2.8566001954994029E-2</v>
          </cell>
          <cell r="D261">
            <v>1.376577445096732E-2</v>
          </cell>
          <cell r="E261">
            <v>575.49133333333327</v>
          </cell>
        </row>
        <row r="262">
          <cell r="A262">
            <v>26.323510078817481</v>
          </cell>
          <cell r="B262">
            <v>2.174764481409342E-4</v>
          </cell>
          <cell r="C262">
            <v>8.7144229509997697E-3</v>
          </cell>
          <cell r="D262">
            <v>8.4969465028588362E-3</v>
          </cell>
          <cell r="E262">
            <v>665.96066666666604</v>
          </cell>
        </row>
        <row r="263">
          <cell r="A263">
            <v>25.884917568711</v>
          </cell>
          <cell r="B263">
            <v>-3.0151438793826309E-2</v>
          </cell>
          <cell r="C263">
            <v>-2.6375495202397539E-2</v>
          </cell>
          <cell r="D263">
            <v>3.7759435914287709E-3</v>
          </cell>
          <cell r="E263">
            <v>235.3059999999999</v>
          </cell>
        </row>
        <row r="264">
          <cell r="A264">
            <v>26.85125611036819</v>
          </cell>
          <cell r="B264">
            <v>1.0163971859702491E-2</v>
          </cell>
          <cell r="C264">
            <v>1.5237166081632E-2</v>
          </cell>
          <cell r="D264">
            <v>5.0731942219295108E-3</v>
          </cell>
          <cell r="E264">
            <v>176.36666666666659</v>
          </cell>
        </row>
        <row r="265">
          <cell r="A265">
            <v>26.83435811436976</v>
          </cell>
          <cell r="B265">
            <v>-2.233503889645767E-2</v>
          </cell>
          <cell r="C265">
            <v>-2.1298212750587169E-2</v>
          </cell>
          <cell r="D265">
            <v>1.0368261458704969E-3</v>
          </cell>
          <cell r="E265">
            <v>284.48866666666669</v>
          </cell>
        </row>
        <row r="266">
          <cell r="A266">
            <v>25.324556855123031</v>
          </cell>
          <cell r="B266">
            <v>-3.3031355169792963E-2</v>
          </cell>
          <cell r="C266">
            <v>-2.1098075254369009E-2</v>
          </cell>
          <cell r="D266">
            <v>1.193327991542395E-2</v>
          </cell>
          <cell r="E266">
            <v>766.52066666666644</v>
          </cell>
        </row>
        <row r="267">
          <cell r="A267">
            <v>27.79293007606811</v>
          </cell>
          <cell r="B267">
            <v>3.8483789186550467E-2</v>
          </cell>
          <cell r="C267">
            <v>5.5706717590610272E-2</v>
          </cell>
          <cell r="D267">
            <v>1.7222928404059801E-2</v>
          </cell>
          <cell r="E267">
            <v>662.72666666666635</v>
          </cell>
        </row>
        <row r="268">
          <cell r="A268">
            <v>25.688886286077771</v>
          </cell>
          <cell r="B268">
            <v>-2.1786739375925391E-2</v>
          </cell>
          <cell r="C268">
            <v>-2.1517506411946059E-2</v>
          </cell>
          <cell r="D268">
            <v>2.6923296397932459E-4</v>
          </cell>
          <cell r="E268">
            <v>281.75266666666653</v>
          </cell>
        </row>
        <row r="269">
          <cell r="A269">
            <v>25.734390619015429</v>
          </cell>
          <cell r="B269">
            <v>-2.1808520796747461E-2</v>
          </cell>
          <cell r="C269">
            <v>-2.150879488231161E-2</v>
          </cell>
          <cell r="D269">
            <v>2.997259144358437E-4</v>
          </cell>
          <cell r="E269">
            <v>282.67733333333348</v>
          </cell>
        </row>
        <row r="270">
          <cell r="A270">
            <v>25.073591669313231</v>
          </cell>
          <cell r="B270">
            <v>-3.348453086981102E-2</v>
          </cell>
          <cell r="C270">
            <v>-2.9957119487942829E-2</v>
          </cell>
          <cell r="D270">
            <v>3.527411381868194E-3</v>
          </cell>
          <cell r="E270">
            <v>659.13866666666615</v>
          </cell>
        </row>
        <row r="271">
          <cell r="A271">
            <v>25.961574590604432</v>
          </cell>
          <cell r="B271">
            <v>-3.0587152341157942E-2</v>
          </cell>
          <cell r="C271">
            <v>-2.87232865051163E-2</v>
          </cell>
          <cell r="D271">
            <v>1.8638658360416449E-3</v>
          </cell>
          <cell r="E271">
            <v>233.68199999999999</v>
          </cell>
        </row>
        <row r="272">
          <cell r="A272">
            <v>26.458719337329661</v>
          </cell>
          <cell r="B272">
            <v>3.1610599674416059E-3</v>
          </cell>
          <cell r="C272">
            <v>1.1890397469904871E-2</v>
          </cell>
          <cell r="D272">
            <v>8.7293375024632656E-3</v>
          </cell>
          <cell r="E272">
            <v>671.30799999999965</v>
          </cell>
        </row>
        <row r="273">
          <cell r="A273">
            <v>25.283648470052398</v>
          </cell>
          <cell r="B273">
            <v>-4.2503380628701758E-2</v>
          </cell>
          <cell r="C273">
            <v>-4.093246981682503E-2</v>
          </cell>
          <cell r="D273">
            <v>1.570910811876734E-3</v>
          </cell>
          <cell r="E273">
            <v>235.3059999999999</v>
          </cell>
        </row>
        <row r="274">
          <cell r="A274">
            <v>26.131688568280151</v>
          </cell>
          <cell r="B274">
            <v>-2.2243805502854479E-2</v>
          </cell>
          <cell r="C274">
            <v>-2.1067468075319201E-2</v>
          </cell>
          <cell r="D274">
            <v>1.176337427535278E-3</v>
          </cell>
          <cell r="E274">
            <v>140.72800000000001</v>
          </cell>
        </row>
        <row r="275">
          <cell r="A275">
            <v>25.104309703701251</v>
          </cell>
          <cell r="B275">
            <v>-4.641539463331365E-2</v>
          </cell>
          <cell r="C275">
            <v>-4.5255826814300369E-2</v>
          </cell>
          <cell r="D275">
            <v>1.159567819013281E-3</v>
          </cell>
          <cell r="E275">
            <v>235.19</v>
          </cell>
        </row>
        <row r="276">
          <cell r="A276">
            <v>25.726096032691022</v>
          </cell>
          <cell r="B276">
            <v>-2.253745374312335E-2</v>
          </cell>
          <cell r="C276">
            <v>-1.222807435760925E-2</v>
          </cell>
          <cell r="D276">
            <v>1.0309379385514111E-2</v>
          </cell>
          <cell r="E276">
            <v>661.16666666666652</v>
          </cell>
        </row>
        <row r="277">
          <cell r="A277">
            <v>26.749643906811372</v>
          </cell>
          <cell r="B277">
            <v>-2.229448900405586E-2</v>
          </cell>
          <cell r="C277">
            <v>-2.1314430773838159E-2</v>
          </cell>
          <cell r="D277">
            <v>9.80058230217698E-4</v>
          </cell>
          <cell r="E277">
            <v>281.30000000000018</v>
          </cell>
        </row>
        <row r="278">
          <cell r="A278">
            <v>26.76862204656743</v>
          </cell>
          <cell r="B278">
            <v>-2.2303573212564379E-2</v>
          </cell>
          <cell r="C278">
            <v>-2.1310797523634979E-2</v>
          </cell>
          <cell r="D278">
            <v>9.9277568892940787E-4</v>
          </cell>
          <cell r="E278">
            <v>282.67733333333348</v>
          </cell>
        </row>
        <row r="279">
          <cell r="A279">
            <v>25.45163527678454</v>
          </cell>
          <cell r="B279">
            <v>-3.0722372128383881E-2</v>
          </cell>
          <cell r="C279">
            <v>-1.7228679600260349E-2</v>
          </cell>
          <cell r="D279">
            <v>1.3493692528123531E-2</v>
          </cell>
          <cell r="E279">
            <v>764.69399999999962</v>
          </cell>
        </row>
        <row r="280">
          <cell r="A280">
            <v>27.826640541686182</v>
          </cell>
          <cell r="B280">
            <v>3.944782324013299E-2</v>
          </cell>
          <cell r="C280">
            <v>5.6130233667107107E-2</v>
          </cell>
          <cell r="D280">
            <v>1.6682410426974121E-2</v>
          </cell>
          <cell r="E280">
            <v>659.32666666666637</v>
          </cell>
        </row>
        <row r="281">
          <cell r="A281">
            <v>25.99545772034444</v>
          </cell>
          <cell r="B281">
            <v>-9.0566429994994521E-3</v>
          </cell>
          <cell r="C281">
            <v>-8.3548402946702935E-4</v>
          </cell>
          <cell r="D281">
            <v>8.2211589700324234E-3</v>
          </cell>
          <cell r="E281">
            <v>661.34866666666619</v>
          </cell>
        </row>
        <row r="282">
          <cell r="A282">
            <v>25.329641759931</v>
          </cell>
          <cell r="B282">
            <v>-3.9272290213727648E-2</v>
          </cell>
          <cell r="C282">
            <v>-2.5035306444907951E-2</v>
          </cell>
          <cell r="D282">
            <v>1.4236983768819701E-2</v>
          </cell>
          <cell r="E282">
            <v>575.76533333333339</v>
          </cell>
        </row>
        <row r="283">
          <cell r="A283">
            <v>25.403350299230478</v>
          </cell>
          <cell r="B283">
            <v>-3.209343381810334E-2</v>
          </cell>
          <cell r="C283">
            <v>-1.8471352361034959E-2</v>
          </cell>
          <cell r="D283">
            <v>1.3622081457068381E-2</v>
          </cell>
          <cell r="E283">
            <v>764.56333333333305</v>
          </cell>
        </row>
        <row r="284">
          <cell r="A284">
            <v>27.86530665866432</v>
          </cell>
          <cell r="B284">
            <v>4.4376565139189889E-2</v>
          </cell>
          <cell r="C284">
            <v>5.4916633401644557E-2</v>
          </cell>
          <cell r="D284">
            <v>1.0540068262454671E-2</v>
          </cell>
          <cell r="E284">
            <v>496.10399999999993</v>
          </cell>
        </row>
        <row r="285">
          <cell r="A285">
            <v>26.796988970417281</v>
          </cell>
          <cell r="B285">
            <v>7.2157636232952228E-3</v>
          </cell>
          <cell r="C285">
            <v>2.2399825979917201E-2</v>
          </cell>
          <cell r="D285">
            <v>1.518406235662198E-2</v>
          </cell>
          <cell r="E285">
            <v>671.43599999999969</v>
          </cell>
        </row>
        <row r="286">
          <cell r="A286">
            <v>27.000644811448009</v>
          </cell>
          <cell r="B286">
            <v>-1.296546475455364E-2</v>
          </cell>
          <cell r="C286">
            <v>2.883181690101632E-2</v>
          </cell>
          <cell r="D286">
            <v>4.1797281655569958E-2</v>
          </cell>
          <cell r="E286">
            <v>588.18666666666695</v>
          </cell>
        </row>
        <row r="287">
          <cell r="A287">
            <v>25.04376932672206</v>
          </cell>
          <cell r="B287">
            <v>-4.5522145313907351E-2</v>
          </cell>
          <cell r="C287">
            <v>-3.32108891075572E-2</v>
          </cell>
          <cell r="D287">
            <v>1.231125620635015E-2</v>
          </cell>
          <cell r="E287">
            <v>575.76533333333339</v>
          </cell>
        </row>
        <row r="288">
          <cell r="A288">
            <v>27.473050946687469</v>
          </cell>
          <cell r="B288">
            <v>3.0070961546511659E-2</v>
          </cell>
          <cell r="C288">
            <v>3.518216411615311E-2</v>
          </cell>
          <cell r="D288">
            <v>5.1112025696414473E-3</v>
          </cell>
          <cell r="E288">
            <v>236.4233333333332</v>
          </cell>
        </row>
        <row r="289">
          <cell r="A289">
            <v>27.07667378281613</v>
          </cell>
          <cell r="B289">
            <v>-1.055170840306094E-2</v>
          </cell>
          <cell r="C289">
            <v>1.283891801372423E-2</v>
          </cell>
          <cell r="D289">
            <v>2.339062641678517E-2</v>
          </cell>
          <cell r="E289">
            <v>293.02466666666669</v>
          </cell>
        </row>
        <row r="290">
          <cell r="A290">
            <v>26.00360113751039</v>
          </cell>
          <cell r="B290">
            <v>-2.7772178374907589E-2</v>
          </cell>
          <cell r="C290">
            <v>-2.3497768218893489E-2</v>
          </cell>
          <cell r="D290">
            <v>4.2744101560140968E-3</v>
          </cell>
          <cell r="E290">
            <v>235.19</v>
          </cell>
        </row>
        <row r="291">
          <cell r="A291">
            <v>25.50864251513763</v>
          </cell>
          <cell r="B291">
            <v>-3.6657427272480163E-2</v>
          </cell>
          <cell r="C291">
            <v>-3.4185802672861872E-2</v>
          </cell>
          <cell r="D291">
            <v>2.4716245996182838E-3</v>
          </cell>
          <cell r="E291">
            <v>235.464</v>
          </cell>
        </row>
        <row r="292">
          <cell r="A292">
            <v>25.619617365517779</v>
          </cell>
          <cell r="B292">
            <v>-3.5640897395947127E-2</v>
          </cell>
          <cell r="C292">
            <v>-3.2779797072240442E-2</v>
          </cell>
          <cell r="D292">
            <v>2.8611003237066922E-3</v>
          </cell>
          <cell r="E292">
            <v>235.19</v>
          </cell>
        </row>
        <row r="293">
          <cell r="A293">
            <v>25.48313652205487</v>
          </cell>
          <cell r="B293">
            <v>-2.2047273198449291E-2</v>
          </cell>
          <cell r="C293">
            <v>-2.2231302218761229E-2</v>
          </cell>
          <cell r="D293">
            <v>-1.8402902031194179E-4</v>
          </cell>
          <cell r="E293">
            <v>140.54599999999999</v>
          </cell>
        </row>
        <row r="294">
          <cell r="A294">
            <v>25.903672541057858</v>
          </cell>
          <cell r="B294">
            <v>-2.7371201277293322E-2</v>
          </cell>
          <cell r="C294">
            <v>-9.6376183312237781E-3</v>
          </cell>
          <cell r="D294">
            <v>1.773358294606955E-2</v>
          </cell>
          <cell r="E294">
            <v>575.49133333333327</v>
          </cell>
        </row>
        <row r="295">
          <cell r="A295">
            <v>26.045327092367138</v>
          </cell>
          <cell r="B295">
            <v>-2.1957355813937669E-2</v>
          </cell>
          <cell r="C295">
            <v>-2.144926797295672E-2</v>
          </cell>
          <cell r="D295">
            <v>5.0808784098094889E-4</v>
          </cell>
          <cell r="E295">
            <v>287.09866666666647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1"/>
  <sheetViews>
    <sheetView tabSelected="1" workbookViewId="0">
      <selection activeCell="I5" sqref="I5"/>
    </sheetView>
  </sheetViews>
  <sheetFormatPr defaultRowHeight="14.25" x14ac:dyDescent="0.2"/>
  <cols>
    <col min="1" max="1" width="20.75" bestFit="1" customWidth="1"/>
    <col min="2" max="2" width="14.5" bestFit="1" customWidth="1"/>
    <col min="3" max="3" width="13.875" bestFit="1" customWidth="1"/>
    <col min="4" max="4" width="14.125" bestFit="1" customWidth="1"/>
    <col min="5" max="5" width="12.75" bestFit="1" customWidth="1"/>
  </cols>
  <sheetData>
    <row r="1" spans="1: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>
        <v>21.614859844563998</v>
      </c>
      <c r="B2">
        <f>VLOOKUP([1]!表1[[#This Row],[room_temperature+]],[1]Sheet1!$A$1:$E$295,2,0)</f>
        <v>-0.14367539264634471</v>
      </c>
      <c r="C2">
        <f>VLOOKUP([1]!表1[[#This Row],[room_temperature+]],[1]Sheet1!$A$1:$E$295,3,0)</f>
        <v>-0.12936650267565131</v>
      </c>
      <c r="D2">
        <f>VLOOKUP([1]!表1[[#This Row],[room_temperature+]],[1]Sheet1!$A$1:$E$295,4,0)</f>
        <v>-1.4308889970693409E-2</v>
      </c>
      <c r="E2">
        <f>VLOOKUP([1]!表1[[#This Row],[room_temperature+]],[1]Sheet1!$A$1:$E$295,5,0)</f>
        <v>292.00000000000011</v>
      </c>
    </row>
    <row r="3" spans="1:5" x14ac:dyDescent="0.2">
      <c r="A3">
        <v>21.616038057029531</v>
      </c>
      <c r="B3">
        <f>VLOOKUP([1]!表1[[#This Row],[room_temperature+]],[1]Sheet1!$A$1:$E$295,2,0)</f>
        <v>-0.13312334060029229</v>
      </c>
      <c r="C3">
        <f>VLOOKUP([1]!表1[[#This Row],[room_temperature+]],[1]Sheet1!$A$1:$E$295,3,0)</f>
        <v>-0.1229735418966825</v>
      </c>
      <c r="D3">
        <f>VLOOKUP([1]!表1[[#This Row],[room_temperature+]],[1]Sheet1!$A$1:$E$295,4,0)</f>
        <v>-1.01497987036098E-2</v>
      </c>
      <c r="E3">
        <f>VLOOKUP([1]!表1[[#This Row],[room_temperature+]],[1]Sheet1!$A$1:$E$295,5,0)</f>
        <v>235.46600000000009</v>
      </c>
    </row>
    <row r="4" spans="1:5" x14ac:dyDescent="0.2">
      <c r="A4">
        <v>21.69914638887877</v>
      </c>
      <c r="B4">
        <f>VLOOKUP([1]!表1[[#This Row],[room_temperature+]],[1]Sheet1!$A$1:$E$295,2,0)</f>
        <v>-0.13814921932343599</v>
      </c>
      <c r="C4">
        <f>VLOOKUP([1]!表1[[#This Row],[room_temperature+]],[1]Sheet1!$A$1:$E$295,3,0)</f>
        <v>-0.1237171039455069</v>
      </c>
      <c r="D4">
        <f>VLOOKUP([1]!表1[[#This Row],[room_temperature+]],[1]Sheet1!$A$1:$E$295,4,0)</f>
        <v>-1.443211537792909E-2</v>
      </c>
      <c r="E4">
        <f>VLOOKUP([1]!表1[[#This Row],[room_temperature+]],[1]Sheet1!$A$1:$E$295,5,0)</f>
        <v>185.0320000000001</v>
      </c>
    </row>
    <row r="5" spans="1:5" x14ac:dyDescent="0.2">
      <c r="A5">
        <v>21.702062687840041</v>
      </c>
      <c r="B5">
        <f>VLOOKUP([1]!表1[[#This Row],[room_temperature+]],[1]Sheet1!$A$1:$E$295,2,0)</f>
        <v>-0.13813553284096919</v>
      </c>
      <c r="C5">
        <f>VLOOKUP([1]!表1[[#This Row],[room_temperature+]],[1]Sheet1!$A$1:$E$295,3,0)</f>
        <v>-0.1238226742808958</v>
      </c>
      <c r="D5">
        <f>VLOOKUP([1]!表1[[#This Row],[room_temperature+]],[1]Sheet1!$A$1:$E$295,4,0)</f>
        <v>-1.431285856007339E-2</v>
      </c>
      <c r="E5">
        <f>VLOOKUP([1]!表1[[#This Row],[room_temperature+]],[1]Sheet1!$A$1:$E$295,5,0)</f>
        <v>187.04400000000001</v>
      </c>
    </row>
    <row r="6" spans="1:5" x14ac:dyDescent="0.2">
      <c r="A6">
        <v>21.703965225360019</v>
      </c>
      <c r="B6">
        <f>VLOOKUP([1]!表1[[#This Row],[room_temperature+]],[1]Sheet1!$A$1:$E$295,2,0)</f>
        <v>-0.1460748254901087</v>
      </c>
      <c r="C6">
        <f>VLOOKUP([1]!表1[[#This Row],[room_temperature+]],[1]Sheet1!$A$1:$E$295,3,0)</f>
        <v>-0.1330798327550565</v>
      </c>
      <c r="D6">
        <f>VLOOKUP([1]!表1[[#This Row],[room_temperature+]],[1]Sheet1!$A$1:$E$295,4,0)</f>
        <v>-1.29949927350522E-2</v>
      </c>
      <c r="E6">
        <f>VLOOKUP([1]!表1[[#This Row],[room_temperature+]],[1]Sheet1!$A$1:$E$295,5,0)</f>
        <v>425.03600000000012</v>
      </c>
    </row>
    <row r="7" spans="1:5" x14ac:dyDescent="0.2">
      <c r="A7">
        <v>21.708497659403289</v>
      </c>
      <c r="B7">
        <f>VLOOKUP([1]!表1[[#This Row],[room_temperature+]],[1]Sheet1!$A$1:$E$295,2,0)</f>
        <v>-0.13750828747771629</v>
      </c>
      <c r="C7">
        <f>VLOOKUP([1]!表1[[#This Row],[room_temperature+]],[1]Sheet1!$A$1:$E$295,3,0)</f>
        <v>-0.12326108218878649</v>
      </c>
      <c r="D7">
        <f>VLOOKUP([1]!表1[[#This Row],[room_temperature+]],[1]Sheet1!$A$1:$E$295,4,0)</f>
        <v>-1.4247205288929801E-2</v>
      </c>
      <c r="E7">
        <f>VLOOKUP([1]!表1[[#This Row],[room_temperature+]],[1]Sheet1!$A$1:$E$295,5,0)</f>
        <v>134.268</v>
      </c>
    </row>
    <row r="8" spans="1:5" x14ac:dyDescent="0.2">
      <c r="A8">
        <v>21.719947412839211</v>
      </c>
      <c r="B8">
        <f>VLOOKUP([1]!表1[[#This Row],[room_temperature+]],[1]Sheet1!$A$1:$E$295,2,0)</f>
        <v>-0.13364967543951881</v>
      </c>
      <c r="C8">
        <f>VLOOKUP([1]!表1[[#This Row],[room_temperature+]],[1]Sheet1!$A$1:$E$295,3,0)</f>
        <v>-0.1233282923392853</v>
      </c>
      <c r="D8">
        <f>VLOOKUP([1]!表1[[#This Row],[room_temperature+]],[1]Sheet1!$A$1:$E$295,4,0)</f>
        <v>-1.0321383100233511E-2</v>
      </c>
      <c r="E8">
        <f>VLOOKUP([1]!表1[[#This Row],[room_temperature+]],[1]Sheet1!$A$1:$E$295,5,0)</f>
        <v>184.10266666666661</v>
      </c>
    </row>
    <row r="9" spans="1:5" x14ac:dyDescent="0.2">
      <c r="A9">
        <v>21.812188501151169</v>
      </c>
      <c r="B9">
        <f>VLOOKUP([1]!表1[[#This Row],[room_temperature+]],[1]Sheet1!$A$1:$E$295,2,0)</f>
        <v>-0.13039262026901699</v>
      </c>
      <c r="C9">
        <f>VLOOKUP([1]!表1[[#This Row],[room_temperature+]],[1]Sheet1!$A$1:$E$295,3,0)</f>
        <v>-0.12040410320283169</v>
      </c>
      <c r="D9">
        <f>VLOOKUP([1]!表1[[#This Row],[room_temperature+]],[1]Sheet1!$A$1:$E$295,4,0)</f>
        <v>-9.9885170661852957E-3</v>
      </c>
      <c r="E9">
        <f>VLOOKUP([1]!表1[[#This Row],[room_temperature+]],[1]Sheet1!$A$1:$E$295,5,0)</f>
        <v>102.6</v>
      </c>
    </row>
    <row r="10" spans="1:5" x14ac:dyDescent="0.2">
      <c r="A10">
        <v>21.913346603913539</v>
      </c>
      <c r="B10">
        <f>VLOOKUP([1]!表1[[#This Row],[room_temperature+]],[1]Sheet1!$A$1:$E$295,2,0)</f>
        <v>-0.12470916878640551</v>
      </c>
      <c r="C10">
        <f>VLOOKUP([1]!表1[[#This Row],[room_temperature+]],[1]Sheet1!$A$1:$E$295,3,0)</f>
        <v>-0.1154085224780426</v>
      </c>
      <c r="D10">
        <f>VLOOKUP([1]!表1[[#This Row],[room_temperature+]],[1]Sheet1!$A$1:$E$295,4,0)</f>
        <v>-9.3006463083629004E-3</v>
      </c>
      <c r="E10">
        <f>VLOOKUP([1]!表1[[#This Row],[room_temperature+]],[1]Sheet1!$A$1:$E$295,5,0)</f>
        <v>45.463999999999999</v>
      </c>
    </row>
    <row r="11" spans="1:5" x14ac:dyDescent="0.2">
      <c r="A11">
        <v>21.91582290217622</v>
      </c>
      <c r="B11">
        <f>VLOOKUP([1]!表1[[#This Row],[room_temperature+]],[1]Sheet1!$A$1:$E$295,2,0)</f>
        <v>-0.1244702337345059</v>
      </c>
      <c r="C11">
        <f>VLOOKUP([1]!表1[[#This Row],[room_temperature+]],[1]Sheet1!$A$1:$E$295,3,0)</f>
        <v>-0.11481400826572789</v>
      </c>
      <c r="D11">
        <f>VLOOKUP([1]!表1[[#This Row],[room_temperature+]],[1]Sheet1!$A$1:$E$295,4,0)</f>
        <v>-9.6562254687780069E-3</v>
      </c>
      <c r="E11">
        <f>VLOOKUP([1]!表1[[#This Row],[room_temperature+]],[1]Sheet1!$A$1:$E$295,5,0)</f>
        <v>23.300666666666679</v>
      </c>
    </row>
    <row r="12" spans="1:5" x14ac:dyDescent="0.2">
      <c r="A12">
        <v>22.012109451843319</v>
      </c>
      <c r="B12">
        <f>VLOOKUP([1]!表1[[#This Row],[room_temperature+]],[1]Sheet1!$A$1:$E$295,2,0)</f>
        <v>-0.1210204454325763</v>
      </c>
      <c r="C12">
        <f>VLOOKUP([1]!表1[[#This Row],[room_temperature+]],[1]Sheet1!$A$1:$E$295,3,0)</f>
        <v>-0.11098749582954991</v>
      </c>
      <c r="D12">
        <f>VLOOKUP([1]!表1[[#This Row],[room_temperature+]],[1]Sheet1!$A$1:$E$295,4,0)</f>
        <v>-1.003294960302639E-2</v>
      </c>
      <c r="E12">
        <f>VLOOKUP([1]!表1[[#This Row],[room_temperature+]],[1]Sheet1!$A$1:$E$295,5,0)</f>
        <v>1.4</v>
      </c>
    </row>
    <row r="13" spans="1:5" x14ac:dyDescent="0.2">
      <c r="A13">
        <v>22.10569266312022</v>
      </c>
      <c r="B13">
        <f>VLOOKUP([1]!表1[[#This Row],[room_temperature+]],[1]Sheet1!$A$1:$E$295,2,0)</f>
        <v>-0.1149444112411082</v>
      </c>
      <c r="C13">
        <f>VLOOKUP([1]!表1[[#This Row],[room_temperature+]],[1]Sheet1!$A$1:$E$295,3,0)</f>
        <v>-0.10270006552507339</v>
      </c>
      <c r="D13">
        <f>VLOOKUP([1]!表1[[#This Row],[room_temperature+]],[1]Sheet1!$A$1:$E$295,4,0)</f>
        <v>-1.2244345716034799E-2</v>
      </c>
      <c r="E13">
        <f>VLOOKUP([1]!表1[[#This Row],[room_temperature+]],[1]Sheet1!$A$1:$E$295,5,0)</f>
        <v>1.6</v>
      </c>
    </row>
    <row r="14" spans="1:5" x14ac:dyDescent="0.2">
      <c r="A14">
        <v>22.10806314013205</v>
      </c>
      <c r="B14">
        <f>VLOOKUP([1]!表1[[#This Row],[room_temperature+]],[1]Sheet1!$A$1:$E$295,2,0)</f>
        <v>-0.1250905083518743</v>
      </c>
      <c r="C14">
        <f>VLOOKUP([1]!表1[[#This Row],[room_temperature+]],[1]Sheet1!$A$1:$E$295,3,0)</f>
        <v>-0.1112438958096363</v>
      </c>
      <c r="D14">
        <f>VLOOKUP([1]!表1[[#This Row],[room_temperature+]],[1]Sheet1!$A$1:$E$295,4,0)</f>
        <v>-1.3846612542238E-2</v>
      </c>
      <c r="E14">
        <f>VLOOKUP([1]!表1[[#This Row],[room_temperature+]],[1]Sheet1!$A$1:$E$295,5,0)</f>
        <v>66.10799999999999</v>
      </c>
    </row>
    <row r="15" spans="1:5" x14ac:dyDescent="0.2">
      <c r="A15">
        <v>22.10892297557286</v>
      </c>
      <c r="B15">
        <f>VLOOKUP([1]!表1[[#This Row],[room_temperature+]],[1]Sheet1!$A$1:$E$295,2,0)</f>
        <v>-0.12492060491310721</v>
      </c>
      <c r="C15">
        <f>VLOOKUP([1]!表1[[#This Row],[room_temperature+]],[1]Sheet1!$A$1:$E$295,3,0)</f>
        <v>-0.11204951131689141</v>
      </c>
      <c r="D15">
        <f>VLOOKUP([1]!表1[[#This Row],[room_temperature+]],[1]Sheet1!$A$1:$E$295,4,0)</f>
        <v>-1.2871093596215801E-2</v>
      </c>
      <c r="E15">
        <f>VLOOKUP([1]!表1[[#This Row],[room_temperature+]],[1]Sheet1!$A$1:$E$295,5,0)</f>
        <v>65.940000000000026</v>
      </c>
    </row>
    <row r="16" spans="1:5" x14ac:dyDescent="0.2">
      <c r="A16">
        <v>22.202802841431769</v>
      </c>
      <c r="B16">
        <f>VLOOKUP([1]!表1[[#This Row],[room_temperature+]],[1]Sheet1!$A$1:$E$295,2,0)</f>
        <v>-0.120831879908955</v>
      </c>
      <c r="C16">
        <f>VLOOKUP([1]!表1[[#This Row],[room_temperature+]],[1]Sheet1!$A$1:$E$295,3,0)</f>
        <v>-0.1077483139560486</v>
      </c>
      <c r="D16">
        <f>VLOOKUP([1]!表1[[#This Row],[room_temperature+]],[1]Sheet1!$A$1:$E$295,4,0)</f>
        <v>-1.30835659529064E-2</v>
      </c>
      <c r="E16">
        <f>VLOOKUP([1]!表1[[#This Row],[room_temperature+]],[1]Sheet1!$A$1:$E$295,5,0)</f>
        <v>41.81466666666666</v>
      </c>
    </row>
    <row r="17" spans="1:5" x14ac:dyDescent="0.2">
      <c r="A17">
        <v>22.208409952180219</v>
      </c>
      <c r="B17">
        <f>VLOOKUP([1]!表1[[#This Row],[room_temperature+]],[1]Sheet1!$A$1:$E$295,2,0)</f>
        <v>-0.12589276326963589</v>
      </c>
      <c r="C17">
        <f>VLOOKUP([1]!表1[[#This Row],[room_temperature+]],[1]Sheet1!$A$1:$E$295,3,0)</f>
        <v>-0.1127980523440486</v>
      </c>
      <c r="D17">
        <f>VLOOKUP([1]!表1[[#This Row],[room_temperature+]],[1]Sheet1!$A$1:$E$295,4,0)</f>
        <v>-1.3094710925587279E-2</v>
      </c>
      <c r="E17">
        <f>VLOOKUP([1]!表1[[#This Row],[room_temperature+]],[1]Sheet1!$A$1:$E$295,5,0)</f>
        <v>1.461333333333334</v>
      </c>
    </row>
    <row r="18" spans="1:5" x14ac:dyDescent="0.2">
      <c r="A18">
        <v>22.218769465314011</v>
      </c>
      <c r="B18">
        <f>VLOOKUP([1]!表1[[#This Row],[room_temperature+]],[1]Sheet1!$A$1:$E$295,2,0)</f>
        <v>-0.11194636809528349</v>
      </c>
      <c r="C18">
        <f>VLOOKUP([1]!表1[[#This Row],[room_temperature+]],[1]Sheet1!$A$1:$E$295,3,0)</f>
        <v>-0.100366521373093</v>
      </c>
      <c r="D18">
        <f>VLOOKUP([1]!表1[[#This Row],[room_temperature+]],[1]Sheet1!$A$1:$E$295,4,0)</f>
        <v>-1.1579846722190489E-2</v>
      </c>
      <c r="E18">
        <f>VLOOKUP([1]!表1[[#This Row],[room_temperature+]],[1]Sheet1!$A$1:$E$295,5,0)</f>
        <v>1.5986666666666669</v>
      </c>
    </row>
    <row r="19" spans="1:5" x14ac:dyDescent="0.2">
      <c r="A19">
        <v>22.30851991579479</v>
      </c>
      <c r="B19">
        <f>VLOOKUP([1]!表1[[#This Row],[room_temperature+]],[1]Sheet1!$A$1:$E$295,2,0)</f>
        <v>-0.11976409371572749</v>
      </c>
      <c r="C19">
        <f>VLOOKUP([1]!表1[[#This Row],[room_temperature+]],[1]Sheet1!$A$1:$E$295,3,0)</f>
        <v>-0.1070686046583126</v>
      </c>
      <c r="D19">
        <f>VLOOKUP([1]!表1[[#This Row],[room_temperature+]],[1]Sheet1!$A$1:$E$295,4,0)</f>
        <v>-1.26954890574149E-2</v>
      </c>
      <c r="E19">
        <f>VLOOKUP([1]!表1[[#This Row],[room_temperature+]],[1]Sheet1!$A$1:$E$295,5,0)</f>
        <v>41.799999999999983</v>
      </c>
    </row>
    <row r="20" spans="1:5" x14ac:dyDescent="0.2">
      <c r="A20">
        <v>22.310802658689791</v>
      </c>
      <c r="B20">
        <f>VLOOKUP([1]!表1[[#This Row],[room_temperature+]],[1]Sheet1!$A$1:$E$295,2,0)</f>
        <v>-0.1117087706882961</v>
      </c>
      <c r="C20">
        <f>VLOOKUP([1]!表1[[#This Row],[room_temperature+]],[1]Sheet1!$A$1:$E$295,3,0)</f>
        <v>-9.8602704701644533E-2</v>
      </c>
      <c r="D20">
        <f>VLOOKUP([1]!表1[[#This Row],[room_temperature+]],[1]Sheet1!$A$1:$E$295,4,0)</f>
        <v>-1.310606598665157E-2</v>
      </c>
      <c r="E20">
        <f>VLOOKUP([1]!表1[[#This Row],[room_temperature+]],[1]Sheet1!$A$1:$E$295,5,0)</f>
        <v>355.16866666666652</v>
      </c>
    </row>
    <row r="21" spans="1:5" x14ac:dyDescent="0.2">
      <c r="A21">
        <v>22.315448234615761</v>
      </c>
      <c r="B21">
        <f>VLOOKUP([1]!表1[[#This Row],[room_temperature+]],[1]Sheet1!$A$1:$E$295,2,0)</f>
        <v>-0.1089034319951431</v>
      </c>
      <c r="C21">
        <f>VLOOKUP([1]!表1[[#This Row],[room_temperature+]],[1]Sheet1!$A$1:$E$295,3,0)</f>
        <v>-9.6677302019350056E-2</v>
      </c>
      <c r="D21">
        <f>VLOOKUP([1]!表1[[#This Row],[room_temperature+]],[1]Sheet1!$A$1:$E$295,4,0)</f>
        <v>-1.2226129975793049E-2</v>
      </c>
      <c r="E21">
        <f>VLOOKUP([1]!表1[[#This Row],[room_temperature+]],[1]Sheet1!$A$1:$E$295,5,0)</f>
        <v>353.22599999999971</v>
      </c>
    </row>
    <row r="22" spans="1:5" x14ac:dyDescent="0.2">
      <c r="A22">
        <v>22.319310976447522</v>
      </c>
      <c r="B22">
        <f>VLOOKUP([1]!表1[[#This Row],[room_temperature+]],[1]Sheet1!$A$1:$E$295,2,0)</f>
        <v>-0.1099246823878794</v>
      </c>
      <c r="C22">
        <f>VLOOKUP([1]!表1[[#This Row],[room_temperature+]],[1]Sheet1!$A$1:$E$295,3,0)</f>
        <v>-9.8296268456075114E-2</v>
      </c>
      <c r="D22">
        <f>VLOOKUP([1]!表1[[#This Row],[room_temperature+]],[1]Sheet1!$A$1:$E$295,4,0)</f>
        <v>-1.1628413931804291E-2</v>
      </c>
      <c r="E22">
        <f>VLOOKUP([1]!表1[[#This Row],[room_temperature+]],[1]Sheet1!$A$1:$E$295,5,0)</f>
        <v>429.19333333333333</v>
      </c>
    </row>
    <row r="23" spans="1:5" x14ac:dyDescent="0.2">
      <c r="A23">
        <v>22.40832778497672</v>
      </c>
      <c r="B23">
        <f>VLOOKUP([1]!表1[[#This Row],[room_temperature+]],[1]Sheet1!$A$1:$E$295,2,0)</f>
        <v>-0.1211284007763358</v>
      </c>
      <c r="C23">
        <f>VLOOKUP([1]!表1[[#This Row],[room_temperature+]],[1]Sheet1!$A$1:$E$295,3,0)</f>
        <v>-0.1089845156381293</v>
      </c>
      <c r="D23">
        <f>VLOOKUP([1]!表1[[#This Row],[room_temperature+]],[1]Sheet1!$A$1:$E$295,4,0)</f>
        <v>-1.214388513820649E-2</v>
      </c>
      <c r="E23">
        <f>VLOOKUP([1]!表1[[#This Row],[room_temperature+]],[1]Sheet1!$A$1:$E$295,5,0)</f>
        <v>9.2293333333333329</v>
      </c>
    </row>
    <row r="24" spans="1:5" x14ac:dyDescent="0.2">
      <c r="A24">
        <v>22.41846751188962</v>
      </c>
      <c r="B24">
        <f>VLOOKUP([1]!表1[[#This Row],[room_temperature+]],[1]Sheet1!$A$1:$E$295,2,0)</f>
        <v>-0.1047548016899669</v>
      </c>
      <c r="C24">
        <f>VLOOKUP([1]!表1[[#This Row],[room_temperature+]],[1]Sheet1!$A$1:$E$295,3,0)</f>
        <v>-9.3268620210489248E-2</v>
      </c>
      <c r="D24">
        <f>VLOOKUP([1]!表1[[#This Row],[room_temperature+]],[1]Sheet1!$A$1:$E$295,4,0)</f>
        <v>-1.148618147947765E-2</v>
      </c>
      <c r="E24">
        <f>VLOOKUP([1]!表1[[#This Row],[room_temperature+]],[1]Sheet1!$A$1:$E$295,5,0)</f>
        <v>291.06466666666682</v>
      </c>
    </row>
    <row r="25" spans="1:5" x14ac:dyDescent="0.2">
      <c r="A25">
        <v>22.501291876834149</v>
      </c>
      <c r="B25">
        <f>VLOOKUP([1]!表1[[#This Row],[room_temperature+]],[1]Sheet1!$A$1:$E$295,2,0)</f>
        <v>-0.10754110121452259</v>
      </c>
      <c r="C25">
        <f>VLOOKUP([1]!表1[[#This Row],[room_temperature+]],[1]Sheet1!$A$1:$E$295,3,0)</f>
        <v>-9.8685353795717884E-2</v>
      </c>
      <c r="D25">
        <f>VLOOKUP([1]!表1[[#This Row],[room_temperature+]],[1]Sheet1!$A$1:$E$295,4,0)</f>
        <v>-8.8557474188047103E-3</v>
      </c>
      <c r="E25">
        <f>VLOOKUP([1]!表1[[#This Row],[room_temperature+]],[1]Sheet1!$A$1:$E$295,5,0)</f>
        <v>140.6999999999999</v>
      </c>
    </row>
    <row r="26" spans="1:5" x14ac:dyDescent="0.2">
      <c r="A26">
        <v>22.510985410621728</v>
      </c>
      <c r="B26">
        <f>VLOOKUP([1]!表1[[#This Row],[room_temperature+]],[1]Sheet1!$A$1:$E$295,2,0)</f>
        <v>-0.1130333630761397</v>
      </c>
      <c r="C26">
        <f>VLOOKUP([1]!表1[[#This Row],[room_temperature+]],[1]Sheet1!$A$1:$E$295,3,0)</f>
        <v>-0.104596938075343</v>
      </c>
      <c r="D26">
        <f>VLOOKUP([1]!表1[[#This Row],[room_temperature+]],[1]Sheet1!$A$1:$E$295,4,0)</f>
        <v>-8.4364250007967073E-3</v>
      </c>
      <c r="E26">
        <f>VLOOKUP([1]!表1[[#This Row],[room_temperature+]],[1]Sheet1!$A$1:$E$295,5,0)</f>
        <v>8.5466666666666704</v>
      </c>
    </row>
    <row r="27" spans="1:5" x14ac:dyDescent="0.2">
      <c r="A27">
        <v>22.514766298328961</v>
      </c>
      <c r="B27">
        <f>VLOOKUP([1]!表1[[#This Row],[room_temperature+]],[1]Sheet1!$A$1:$E$295,2,0)</f>
        <v>-0.10968946673576541</v>
      </c>
      <c r="C27">
        <f>VLOOKUP([1]!表1[[#This Row],[room_temperature+]],[1]Sheet1!$A$1:$E$295,3,0)</f>
        <v>-0.10380557358191091</v>
      </c>
      <c r="D27">
        <f>VLOOKUP([1]!表1[[#This Row],[room_temperature+]],[1]Sheet1!$A$1:$E$295,4,0)</f>
        <v>-5.8838931538544997E-3</v>
      </c>
      <c r="E27">
        <f>VLOOKUP([1]!表1[[#This Row],[room_temperature+]],[1]Sheet1!$A$1:$E$295,5,0)</f>
        <v>576.22200000000009</v>
      </c>
    </row>
    <row r="28" spans="1:5" x14ac:dyDescent="0.2">
      <c r="A28">
        <v>22.51620345837911</v>
      </c>
      <c r="B28">
        <f>VLOOKUP([1]!表1[[#This Row],[room_temperature+]],[1]Sheet1!$A$1:$E$295,2,0)</f>
        <v>-0.1071810110883933</v>
      </c>
      <c r="C28">
        <f>VLOOKUP([1]!表1[[#This Row],[room_temperature+]],[1]Sheet1!$A$1:$E$295,3,0)</f>
        <v>-0.1016336487626309</v>
      </c>
      <c r="D28">
        <f>VLOOKUP([1]!表1[[#This Row],[room_temperature+]],[1]Sheet1!$A$1:$E$295,4,0)</f>
        <v>-5.5473623257624033E-3</v>
      </c>
      <c r="E28">
        <f>VLOOKUP([1]!表1[[#This Row],[room_temperature+]],[1]Sheet1!$A$1:$E$295,5,0)</f>
        <v>575.58266666666657</v>
      </c>
    </row>
    <row r="29" spans="1:5" x14ac:dyDescent="0.2">
      <c r="A29">
        <v>22.516211271645719</v>
      </c>
      <c r="B29">
        <f>VLOOKUP([1]!表1[[#This Row],[room_temperature+]],[1]Sheet1!$A$1:$E$295,2,0)</f>
        <v>-0.1213107596303301</v>
      </c>
      <c r="C29">
        <f>VLOOKUP([1]!表1[[#This Row],[room_temperature+]],[1]Sheet1!$A$1:$E$295,3,0)</f>
        <v>-0.11015422908529029</v>
      </c>
      <c r="D29">
        <f>VLOOKUP([1]!表1[[#This Row],[room_temperature+]],[1]Sheet1!$A$1:$E$295,4,0)</f>
        <v>-1.1156530545039799E-2</v>
      </c>
      <c r="E29">
        <f>VLOOKUP([1]!表1[[#This Row],[room_temperature+]],[1]Sheet1!$A$1:$E$295,5,0)</f>
        <v>1.472</v>
      </c>
    </row>
    <row r="30" spans="1:5" x14ac:dyDescent="0.2">
      <c r="A30">
        <v>22.521029863479171</v>
      </c>
      <c r="B30">
        <f>VLOOKUP([1]!表1[[#This Row],[room_temperature+]],[1]Sheet1!$A$1:$E$295,2,0)</f>
        <v>-9.9985780357926116E-2</v>
      </c>
      <c r="C30">
        <f>VLOOKUP([1]!表1[[#This Row],[room_temperature+]],[1]Sheet1!$A$1:$E$295,3,0)</f>
        <v>-9.0918036760620838E-2</v>
      </c>
      <c r="D30">
        <f>VLOOKUP([1]!表1[[#This Row],[room_temperature+]],[1]Sheet1!$A$1:$E$295,4,0)</f>
        <v>-9.0677435973052778E-3</v>
      </c>
      <c r="E30">
        <f>VLOOKUP([1]!表1[[#This Row],[room_temperature+]],[1]Sheet1!$A$1:$E$295,5,0)</f>
        <v>293.72733333333332</v>
      </c>
    </row>
    <row r="31" spans="1:5" x14ac:dyDescent="0.2">
      <c r="A31">
        <v>22.52210765552049</v>
      </c>
      <c r="B31">
        <f>VLOOKUP([1]!表1[[#This Row],[room_temperature+]],[1]Sheet1!$A$1:$E$295,2,0)</f>
        <v>-9.7744469413066984E-2</v>
      </c>
      <c r="C31">
        <f>VLOOKUP([1]!表1[[#This Row],[room_temperature+]],[1]Sheet1!$A$1:$E$295,3,0)</f>
        <v>-8.8912890857409624E-2</v>
      </c>
      <c r="D31">
        <f>VLOOKUP([1]!表1[[#This Row],[room_temperature+]],[1]Sheet1!$A$1:$E$295,4,0)</f>
        <v>-8.8315785556573601E-3</v>
      </c>
      <c r="E31">
        <f>VLOOKUP([1]!表1[[#This Row],[room_temperature+]],[1]Sheet1!$A$1:$E$295,5,0)</f>
        <v>293.12466666666671</v>
      </c>
    </row>
    <row r="32" spans="1:5" x14ac:dyDescent="0.2">
      <c r="A32">
        <v>22.599588066297969</v>
      </c>
      <c r="B32">
        <f>VLOOKUP([1]!表1[[#This Row],[room_temperature+]],[1]Sheet1!$A$1:$E$295,2,0)</f>
        <v>-0.1069106127463246</v>
      </c>
      <c r="C32">
        <f>VLOOKUP([1]!表1[[#This Row],[room_temperature+]],[1]Sheet1!$A$1:$E$295,3,0)</f>
        <v>-0.10022584422470041</v>
      </c>
      <c r="D32">
        <f>VLOOKUP([1]!表1[[#This Row],[room_temperature+]],[1]Sheet1!$A$1:$E$295,4,0)</f>
        <v>-6.6847685216241959E-3</v>
      </c>
      <c r="E32">
        <f>VLOOKUP([1]!表1[[#This Row],[room_temperature+]],[1]Sheet1!$A$1:$E$295,5,0)</f>
        <v>234.97200000000009</v>
      </c>
    </row>
    <row r="33" spans="1:5" x14ac:dyDescent="0.2">
      <c r="A33">
        <v>22.613702139388181</v>
      </c>
      <c r="B33">
        <f>VLOOKUP([1]!表1[[#This Row],[room_temperature+]],[1]Sheet1!$A$1:$E$295,2,0)</f>
        <v>-0.10869529161790339</v>
      </c>
      <c r="C33">
        <f>VLOOKUP([1]!表1[[#This Row],[room_temperature+]],[1]Sheet1!$A$1:$E$295,3,0)</f>
        <v>-0.1003392387305134</v>
      </c>
      <c r="D33">
        <f>VLOOKUP([1]!表1[[#This Row],[room_temperature+]],[1]Sheet1!$A$1:$E$295,4,0)</f>
        <v>-8.3560528873899975E-3</v>
      </c>
      <c r="E33">
        <f>VLOOKUP([1]!表1[[#This Row],[room_temperature+]],[1]Sheet1!$A$1:$E$295,5,0)</f>
        <v>140.6999999999999</v>
      </c>
    </row>
    <row r="34" spans="1:5" x14ac:dyDescent="0.2">
      <c r="A34">
        <v>22.61559450318353</v>
      </c>
      <c r="B34">
        <f>VLOOKUP([1]!表1[[#This Row],[room_temperature+]],[1]Sheet1!$A$1:$E$295,2,0)</f>
        <v>-0.106143036801053</v>
      </c>
      <c r="C34">
        <f>VLOOKUP([1]!表1[[#This Row],[room_temperature+]],[1]Sheet1!$A$1:$E$295,3,0)</f>
        <v>-9.794815852209493E-2</v>
      </c>
      <c r="D34">
        <f>VLOOKUP([1]!表1[[#This Row],[room_temperature+]],[1]Sheet1!$A$1:$E$295,4,0)</f>
        <v>-8.1948782789580676E-3</v>
      </c>
      <c r="E34">
        <f>VLOOKUP([1]!表1[[#This Row],[room_temperature+]],[1]Sheet1!$A$1:$E$295,5,0)</f>
        <v>102.624</v>
      </c>
    </row>
    <row r="35" spans="1:5" x14ac:dyDescent="0.2">
      <c r="A35">
        <v>22.616179824067171</v>
      </c>
      <c r="B35">
        <f>VLOOKUP([1]!表1[[#This Row],[room_temperature+]],[1]Sheet1!$A$1:$E$295,2,0)</f>
        <v>-9.7497835753884224E-2</v>
      </c>
      <c r="C35">
        <f>VLOOKUP([1]!表1[[#This Row],[room_temperature+]],[1]Sheet1!$A$1:$E$295,3,0)</f>
        <v>-8.636979790750525E-2</v>
      </c>
      <c r="D35">
        <f>VLOOKUP([1]!表1[[#This Row],[room_temperature+]],[1]Sheet1!$A$1:$E$295,4,0)</f>
        <v>-1.1128037846378971E-2</v>
      </c>
      <c r="E35">
        <f>VLOOKUP([1]!表1[[#This Row],[room_temperature+]],[1]Sheet1!$A$1:$E$295,5,0)</f>
        <v>140.6999999999999</v>
      </c>
    </row>
    <row r="36" spans="1:5" x14ac:dyDescent="0.2">
      <c r="A36">
        <v>22.61649731583222</v>
      </c>
      <c r="B36">
        <f>VLOOKUP([1]!表1[[#This Row],[room_temperature+]],[1]Sheet1!$A$1:$E$295,2,0)</f>
        <v>-0.10513630837287551</v>
      </c>
      <c r="C36">
        <f>VLOOKUP([1]!表1[[#This Row],[room_temperature+]],[1]Sheet1!$A$1:$E$295,3,0)</f>
        <v>-9.6882628954451364E-2</v>
      </c>
      <c r="D36">
        <f>VLOOKUP([1]!表1[[#This Row],[room_temperature+]],[1]Sheet1!$A$1:$E$295,4,0)</f>
        <v>-8.2536794184241424E-3</v>
      </c>
      <c r="E36">
        <f>VLOOKUP([1]!表1[[#This Row],[room_temperature+]],[1]Sheet1!$A$1:$E$295,5,0)</f>
        <v>103.968</v>
      </c>
    </row>
    <row r="37" spans="1:5" x14ac:dyDescent="0.2">
      <c r="A37">
        <v>22.616669019588919</v>
      </c>
      <c r="B37">
        <f>VLOOKUP([1]!表1[[#This Row],[room_temperature+]],[1]Sheet1!$A$1:$E$295,2,0)</f>
        <v>-0.1048084860547753</v>
      </c>
      <c r="C37">
        <f>VLOOKUP([1]!表1[[#This Row],[room_temperature+]],[1]Sheet1!$A$1:$E$295,3,0)</f>
        <v>-9.6387950724127425E-2</v>
      </c>
      <c r="D37">
        <f>VLOOKUP([1]!表1[[#This Row],[room_temperature+]],[1]Sheet1!$A$1:$E$295,4,0)</f>
        <v>-8.420535330647877E-3</v>
      </c>
      <c r="E37">
        <f>VLOOKUP([1]!表1[[#This Row],[room_temperature+]],[1]Sheet1!$A$1:$E$295,5,0)</f>
        <v>102.684</v>
      </c>
    </row>
    <row r="38" spans="1:5" x14ac:dyDescent="0.2">
      <c r="A38">
        <v>22.617030241580888</v>
      </c>
      <c r="B38">
        <f>VLOOKUP([1]!表1[[#This Row],[room_temperature+]],[1]Sheet1!$A$1:$E$295,2,0)</f>
        <v>-9.7746063404715783E-2</v>
      </c>
      <c r="C38">
        <f>VLOOKUP([1]!表1[[#This Row],[room_temperature+]],[1]Sheet1!$A$1:$E$295,3,0)</f>
        <v>-8.6704958082504197E-2</v>
      </c>
      <c r="D38">
        <f>VLOOKUP([1]!表1[[#This Row],[room_temperature+]],[1]Sheet1!$A$1:$E$295,4,0)</f>
        <v>-1.104110532221159E-2</v>
      </c>
      <c r="E38">
        <f>VLOOKUP([1]!表1[[#This Row],[room_temperature+]],[1]Sheet1!$A$1:$E$295,5,0)</f>
        <v>140.6999999999999</v>
      </c>
    </row>
    <row r="39" spans="1:5" x14ac:dyDescent="0.2">
      <c r="A39">
        <v>22.622424853192509</v>
      </c>
      <c r="B39">
        <f>VLOOKUP([1]!表1[[#This Row],[room_temperature+]],[1]Sheet1!$A$1:$E$295,2,0)</f>
        <v>-9.8989357564473079E-2</v>
      </c>
      <c r="C39">
        <f>VLOOKUP([1]!表1[[#This Row],[room_temperature+]],[1]Sheet1!$A$1:$E$295,3,0)</f>
        <v>-8.8107729713686259E-2</v>
      </c>
      <c r="D39">
        <f>VLOOKUP([1]!表1[[#This Row],[room_temperature+]],[1]Sheet1!$A$1:$E$295,4,0)</f>
        <v>-1.0881627850786821E-2</v>
      </c>
      <c r="E39">
        <f>VLOOKUP([1]!表1[[#This Row],[room_temperature+]],[1]Sheet1!$A$1:$E$295,5,0)</f>
        <v>990.84600000000034</v>
      </c>
    </row>
    <row r="40" spans="1:5" x14ac:dyDescent="0.2">
      <c r="A40">
        <v>22.694370593462061</v>
      </c>
      <c r="B40">
        <f>VLOOKUP([1]!表1[[#This Row],[room_temperature+]],[1]Sheet1!$A$1:$E$295,2,0)</f>
        <v>-0.103725441096003</v>
      </c>
      <c r="C40">
        <f>VLOOKUP([1]!表1[[#This Row],[room_temperature+]],[1]Sheet1!$A$1:$E$295,3,0)</f>
        <v>-9.8200125668410174E-2</v>
      </c>
      <c r="D40">
        <f>VLOOKUP([1]!表1[[#This Row],[room_temperature+]],[1]Sheet1!$A$1:$E$295,4,0)</f>
        <v>-5.5253154275928251E-3</v>
      </c>
      <c r="E40">
        <f>VLOOKUP([1]!表1[[#This Row],[room_temperature+]],[1]Sheet1!$A$1:$E$295,5,0)</f>
        <v>663.2399999999999</v>
      </c>
    </row>
    <row r="41" spans="1:5" x14ac:dyDescent="0.2">
      <c r="A41">
        <v>22.700888198713489</v>
      </c>
      <c r="B41">
        <f>VLOOKUP([1]!表1[[#This Row],[room_temperature+]],[1]Sheet1!$A$1:$E$295,2,0)</f>
        <v>-0.1014060612848643</v>
      </c>
      <c r="C41">
        <f>VLOOKUP([1]!表1[[#This Row],[room_temperature+]],[1]Sheet1!$A$1:$E$295,3,0)</f>
        <v>-9.5705962254074711E-2</v>
      </c>
      <c r="D41">
        <f>VLOOKUP([1]!表1[[#This Row],[room_temperature+]],[1]Sheet1!$A$1:$E$295,4,0)</f>
        <v>-5.7000990307895932E-3</v>
      </c>
      <c r="E41">
        <f>VLOOKUP([1]!表1[[#This Row],[room_temperature+]],[1]Sheet1!$A$1:$E$295,5,0)</f>
        <v>852.6099999999999</v>
      </c>
    </row>
    <row r="42" spans="1:5" x14ac:dyDescent="0.2">
      <c r="A42">
        <v>22.700972517750351</v>
      </c>
      <c r="B42">
        <f>VLOOKUP([1]!表1[[#This Row],[room_temperature+]],[1]Sheet1!$A$1:$E$295,2,0)</f>
        <v>-9.6951536677557293E-2</v>
      </c>
      <c r="C42">
        <f>VLOOKUP([1]!表1[[#This Row],[room_temperature+]],[1]Sheet1!$A$1:$E$295,3,0)</f>
        <v>-9.0691134640205298E-2</v>
      </c>
      <c r="D42">
        <f>VLOOKUP([1]!表1[[#This Row],[room_temperature+]],[1]Sheet1!$A$1:$E$295,4,0)</f>
        <v>-6.2604020373519947E-3</v>
      </c>
      <c r="E42">
        <f>VLOOKUP([1]!表1[[#This Row],[room_temperature+]],[1]Sheet1!$A$1:$E$295,5,0)</f>
        <v>576.31333333333305</v>
      </c>
    </row>
    <row r="43" spans="1:5" x14ac:dyDescent="0.2">
      <c r="A43">
        <v>22.702300804708411</v>
      </c>
      <c r="B43">
        <f>VLOOKUP([1]!表1[[#This Row],[room_temperature+]],[1]Sheet1!$A$1:$E$295,2,0)</f>
        <v>-0.1047899312488727</v>
      </c>
      <c r="C43">
        <f>VLOOKUP([1]!表1[[#This Row],[room_temperature+]],[1]Sheet1!$A$1:$E$295,3,0)</f>
        <v>-9.9449501065332138E-2</v>
      </c>
      <c r="D43">
        <f>VLOOKUP([1]!表1[[#This Row],[room_temperature+]],[1]Sheet1!$A$1:$E$295,4,0)</f>
        <v>-5.3404301835405649E-3</v>
      </c>
      <c r="E43">
        <f>VLOOKUP([1]!表1[[#This Row],[room_temperature+]],[1]Sheet1!$A$1:$E$295,5,0)</f>
        <v>861.83066666666616</v>
      </c>
    </row>
    <row r="44" spans="1:5" x14ac:dyDescent="0.2">
      <c r="A44">
        <v>22.702433658274821</v>
      </c>
      <c r="B44">
        <f>VLOOKUP([1]!表1[[#This Row],[room_temperature+]],[1]Sheet1!$A$1:$E$295,2,0)</f>
        <v>-0.1005693066935074</v>
      </c>
      <c r="C44">
        <f>VLOOKUP([1]!表1[[#This Row],[room_temperature+]],[1]Sheet1!$A$1:$E$295,3,0)</f>
        <v>-9.5795627587987792E-2</v>
      </c>
      <c r="D44">
        <f>VLOOKUP([1]!表1[[#This Row],[room_temperature+]],[1]Sheet1!$A$1:$E$295,4,0)</f>
        <v>-4.7736791055196098E-3</v>
      </c>
      <c r="E44">
        <f>VLOOKUP([1]!表1[[#This Row],[room_temperature+]],[1]Sheet1!$A$1:$E$295,5,0)</f>
        <v>973.5</v>
      </c>
    </row>
    <row r="45" spans="1:5" x14ac:dyDescent="0.2">
      <c r="A45">
        <v>22.706103702980531</v>
      </c>
      <c r="B45">
        <f>VLOOKUP([1]!表1[[#This Row],[room_temperature+]],[1]Sheet1!$A$1:$E$295,2,0)</f>
        <v>-0.10004664563559459</v>
      </c>
      <c r="C45">
        <f>VLOOKUP([1]!表1[[#This Row],[room_temperature+]],[1]Sheet1!$A$1:$E$295,3,0)</f>
        <v>-9.5565541812361141E-2</v>
      </c>
      <c r="D45">
        <f>VLOOKUP([1]!表1[[#This Row],[room_temperature+]],[1]Sheet1!$A$1:$E$295,4,0)</f>
        <v>-4.4811038232334538E-3</v>
      </c>
      <c r="E45">
        <f>VLOOKUP([1]!表1[[#This Row],[room_temperature+]],[1]Sheet1!$A$1:$E$295,5,0)</f>
        <v>764.45799999999986</v>
      </c>
    </row>
    <row r="46" spans="1:5" x14ac:dyDescent="0.2">
      <c r="A46">
        <v>22.714562705280191</v>
      </c>
      <c r="B46">
        <f>VLOOKUP([1]!表1[[#This Row],[room_temperature+]],[1]Sheet1!$A$1:$E$295,2,0)</f>
        <v>-0.10112045129104311</v>
      </c>
      <c r="C46">
        <f>VLOOKUP([1]!表1[[#This Row],[room_temperature+]],[1]Sheet1!$A$1:$E$295,3,0)</f>
        <v>-9.5494455485909222E-2</v>
      </c>
      <c r="D46">
        <f>VLOOKUP([1]!表1[[#This Row],[room_temperature+]],[1]Sheet1!$A$1:$E$295,4,0)</f>
        <v>-5.6259958051338849E-3</v>
      </c>
      <c r="E46">
        <f>VLOOKUP([1]!表1[[#This Row],[room_temperature+]],[1]Sheet1!$A$1:$E$295,5,0)</f>
        <v>43.943333333333307</v>
      </c>
    </row>
    <row r="47" spans="1:5" x14ac:dyDescent="0.2">
      <c r="A47">
        <v>22.714756919656701</v>
      </c>
      <c r="B47">
        <f>VLOOKUP([1]!表1[[#This Row],[room_temperature+]],[1]Sheet1!$A$1:$E$295,2,0)</f>
        <v>-0.1030071403015161</v>
      </c>
      <c r="C47">
        <f>VLOOKUP([1]!表1[[#This Row],[room_temperature+]],[1]Sheet1!$A$1:$E$295,3,0)</f>
        <v>-9.6737762290517046E-2</v>
      </c>
      <c r="D47">
        <f>VLOOKUP([1]!表1[[#This Row],[room_temperature+]],[1]Sheet1!$A$1:$E$295,4,0)</f>
        <v>-6.2693780109990549E-3</v>
      </c>
      <c r="E47">
        <f>VLOOKUP([1]!表1[[#This Row],[room_temperature+]],[1]Sheet1!$A$1:$E$295,5,0)</f>
        <v>234.90000000000009</v>
      </c>
    </row>
    <row r="48" spans="1:5" x14ac:dyDescent="0.2">
      <c r="A48">
        <v>22.717885037841139</v>
      </c>
      <c r="B48">
        <f>VLOOKUP([1]!表1[[#This Row],[room_temperature+]],[1]Sheet1!$A$1:$E$295,2,0)</f>
        <v>-9.732494900009632E-2</v>
      </c>
      <c r="C48">
        <f>VLOOKUP([1]!表1[[#This Row],[room_temperature+]],[1]Sheet1!$A$1:$E$295,3,0)</f>
        <v>-8.8001518888757971E-2</v>
      </c>
      <c r="D48">
        <f>VLOOKUP([1]!表1[[#This Row],[room_temperature+]],[1]Sheet1!$A$1:$E$295,4,0)</f>
        <v>-9.3234301113383489E-3</v>
      </c>
      <c r="E48">
        <f>VLOOKUP([1]!表1[[#This Row],[room_temperature+]],[1]Sheet1!$A$1:$E$295,5,0)</f>
        <v>863.42133333333277</v>
      </c>
    </row>
    <row r="49" spans="1:5" x14ac:dyDescent="0.2">
      <c r="A49">
        <v>22.717957947060729</v>
      </c>
      <c r="B49">
        <f>VLOOKUP([1]!表1[[#This Row],[room_temperature+]],[1]Sheet1!$A$1:$E$295,2,0)</f>
        <v>-9.38541283825918E-2</v>
      </c>
      <c r="C49">
        <f>VLOOKUP([1]!表1[[#This Row],[room_temperature+]],[1]Sheet1!$A$1:$E$295,3,0)</f>
        <v>-8.4581232881249122E-2</v>
      </c>
      <c r="D49">
        <f>VLOOKUP([1]!表1[[#This Row],[room_temperature+]],[1]Sheet1!$A$1:$E$295,4,0)</f>
        <v>-9.2728955013426789E-3</v>
      </c>
      <c r="E49">
        <f>VLOOKUP([1]!表1[[#This Row],[room_temperature+]],[1]Sheet1!$A$1:$E$295,5,0)</f>
        <v>864.63866666666684</v>
      </c>
    </row>
    <row r="50" spans="1:5" x14ac:dyDescent="0.2">
      <c r="A50">
        <v>22.719368329349681</v>
      </c>
      <c r="B50">
        <f>VLOOKUP([1]!表1[[#This Row],[room_temperature+]],[1]Sheet1!$A$1:$E$295,2,0)</f>
        <v>-9.8105207648312043E-2</v>
      </c>
      <c r="C50">
        <f>VLOOKUP([1]!表1[[#This Row],[room_temperature+]],[1]Sheet1!$A$1:$E$295,3,0)</f>
        <v>-8.8411278585721606E-2</v>
      </c>
      <c r="D50">
        <f>VLOOKUP([1]!表1[[#This Row],[room_temperature+]],[1]Sheet1!$A$1:$E$295,4,0)</f>
        <v>-9.6939290625904367E-3</v>
      </c>
      <c r="E50">
        <f>VLOOKUP([1]!表1[[#This Row],[room_temperature+]],[1]Sheet1!$A$1:$E$295,5,0)</f>
        <v>864.41733333333309</v>
      </c>
    </row>
    <row r="51" spans="1:5" x14ac:dyDescent="0.2">
      <c r="A51">
        <v>22.722063559553309</v>
      </c>
      <c r="B51">
        <f>VLOOKUP([1]!表1[[#This Row],[room_temperature+]],[1]Sheet1!$A$1:$E$295,2,0)</f>
        <v>-0.1138019620585773</v>
      </c>
      <c r="C51">
        <f>VLOOKUP([1]!表1[[#This Row],[room_temperature+]],[1]Sheet1!$A$1:$E$295,3,0)</f>
        <v>-0.10094523877205749</v>
      </c>
      <c r="D51">
        <f>VLOOKUP([1]!表1[[#This Row],[room_temperature+]],[1]Sheet1!$A$1:$E$295,4,0)</f>
        <v>-1.285672328651981E-2</v>
      </c>
      <c r="E51">
        <f>VLOOKUP([1]!表1[[#This Row],[room_temperature+]],[1]Sheet1!$A$1:$E$295,5,0)</f>
        <v>352.74133333333339</v>
      </c>
    </row>
    <row r="52" spans="1:5" x14ac:dyDescent="0.2">
      <c r="A52">
        <v>22.809165025675881</v>
      </c>
      <c r="B52">
        <f>VLOOKUP([1]!表1[[#This Row],[room_temperature+]],[1]Sheet1!$A$1:$E$295,2,0)</f>
        <v>-0.10581853184052351</v>
      </c>
      <c r="C52">
        <f>VLOOKUP([1]!表1[[#This Row],[room_temperature+]],[1]Sheet1!$A$1:$E$295,3,0)</f>
        <v>-0.10115253791613441</v>
      </c>
      <c r="D52">
        <f>VLOOKUP([1]!表1[[#This Row],[room_temperature+]],[1]Sheet1!$A$1:$E$295,4,0)</f>
        <v>-4.6659939243891002E-3</v>
      </c>
      <c r="E52">
        <f>VLOOKUP([1]!表1[[#This Row],[room_temperature+]],[1]Sheet1!$A$1:$E$295,5,0)</f>
        <v>70.073333333333338</v>
      </c>
    </row>
    <row r="53" spans="1:5" x14ac:dyDescent="0.2">
      <c r="A53">
        <v>22.809303214731639</v>
      </c>
      <c r="B53">
        <f>VLOOKUP([1]!表1[[#This Row],[room_temperature+]],[1]Sheet1!$A$1:$E$295,2,0)</f>
        <v>-0.1049724830005557</v>
      </c>
      <c r="C53">
        <f>VLOOKUP([1]!表1[[#This Row],[room_temperature+]],[1]Sheet1!$A$1:$E$295,3,0)</f>
        <v>-0.10000780942570919</v>
      </c>
      <c r="D53">
        <f>VLOOKUP([1]!表1[[#This Row],[room_temperature+]],[1]Sheet1!$A$1:$E$295,4,0)</f>
        <v>-4.9646735748465074E-3</v>
      </c>
      <c r="E53">
        <f>VLOOKUP([1]!表1[[#This Row],[room_temperature+]],[1]Sheet1!$A$1:$E$295,5,0)</f>
        <v>44.555999999999983</v>
      </c>
    </row>
    <row r="54" spans="1:5" x14ac:dyDescent="0.2">
      <c r="A54">
        <v>22.810705000206109</v>
      </c>
      <c r="B54">
        <f>VLOOKUP([1]!表1[[#This Row],[room_temperature+]],[1]Sheet1!$A$1:$E$295,2,0)</f>
        <v>-9.7154817157514284E-2</v>
      </c>
      <c r="C54">
        <f>VLOOKUP([1]!表1[[#This Row],[room_temperature+]],[1]Sheet1!$A$1:$E$295,3,0)</f>
        <v>-9.3335109612324496E-2</v>
      </c>
      <c r="D54">
        <f>VLOOKUP([1]!表1[[#This Row],[room_temperature+]],[1]Sheet1!$A$1:$E$295,4,0)</f>
        <v>-3.8197075451897882E-3</v>
      </c>
      <c r="E54">
        <f>VLOOKUP([1]!表1[[#This Row],[room_temperature+]],[1]Sheet1!$A$1:$E$295,5,0)</f>
        <v>973.5</v>
      </c>
    </row>
    <row r="55" spans="1:5" x14ac:dyDescent="0.2">
      <c r="A55">
        <v>22.812436332105179</v>
      </c>
      <c r="B55">
        <f>VLOOKUP([1]!表1[[#This Row],[room_temperature+]],[1]Sheet1!$A$1:$E$295,2,0)</f>
        <v>-0.10117925818074069</v>
      </c>
      <c r="C55">
        <f>VLOOKUP([1]!表1[[#This Row],[room_temperature+]],[1]Sheet1!$A$1:$E$295,3,0)</f>
        <v>-9.4827203462275883E-2</v>
      </c>
      <c r="D55">
        <f>VLOOKUP([1]!表1[[#This Row],[room_temperature+]],[1]Sheet1!$A$1:$E$295,4,0)</f>
        <v>-6.3520547184648113E-3</v>
      </c>
      <c r="E55">
        <f>VLOOKUP([1]!表1[[#This Row],[room_temperature+]],[1]Sheet1!$A$1:$E$295,5,0)</f>
        <v>187.70666666666671</v>
      </c>
    </row>
    <row r="56" spans="1:5" x14ac:dyDescent="0.2">
      <c r="A56">
        <v>22.813360151888059</v>
      </c>
      <c r="B56">
        <f>VLOOKUP([1]!表1[[#This Row],[room_temperature+]],[1]Sheet1!$A$1:$E$295,2,0)</f>
        <v>-0.1010599208521773</v>
      </c>
      <c r="C56">
        <f>VLOOKUP([1]!表1[[#This Row],[room_temperature+]],[1]Sheet1!$A$1:$E$295,3,0)</f>
        <v>-9.5014139303076339E-2</v>
      </c>
      <c r="D56">
        <f>VLOOKUP([1]!表1[[#This Row],[room_temperature+]],[1]Sheet1!$A$1:$E$295,4,0)</f>
        <v>-6.0457815491009592E-3</v>
      </c>
      <c r="E56">
        <f>VLOOKUP([1]!表1[[#This Row],[room_temperature+]],[1]Sheet1!$A$1:$E$295,5,0)</f>
        <v>140.68600000000009</v>
      </c>
    </row>
    <row r="57" spans="1:5" x14ac:dyDescent="0.2">
      <c r="A57">
        <v>22.813758724200252</v>
      </c>
      <c r="B57">
        <f>VLOOKUP([1]!表1[[#This Row],[room_temperature+]],[1]Sheet1!$A$1:$E$295,2,0)</f>
        <v>-9.7895708601991635E-2</v>
      </c>
      <c r="C57">
        <f>VLOOKUP([1]!表1[[#This Row],[room_temperature+]],[1]Sheet1!$A$1:$E$295,3,0)</f>
        <v>-9.2470151960057118E-2</v>
      </c>
      <c r="D57">
        <f>VLOOKUP([1]!表1[[#This Row],[room_temperature+]],[1]Sheet1!$A$1:$E$295,4,0)</f>
        <v>-5.4255566419345166E-3</v>
      </c>
      <c r="E57">
        <f>VLOOKUP([1]!表1[[#This Row],[room_temperature+]],[1]Sheet1!$A$1:$E$295,5,0)</f>
        <v>185.50399999999991</v>
      </c>
    </row>
    <row r="58" spans="1:5" x14ac:dyDescent="0.2">
      <c r="A58">
        <v>22.814020350018861</v>
      </c>
      <c r="B58">
        <f>VLOOKUP([1]!表1[[#This Row],[room_temperature+]],[1]Sheet1!$A$1:$E$295,2,0)</f>
        <v>-0.1005621631693189</v>
      </c>
      <c r="C58">
        <f>VLOOKUP([1]!表1[[#This Row],[room_temperature+]],[1]Sheet1!$A$1:$E$295,3,0)</f>
        <v>-9.4129455035593113E-2</v>
      </c>
      <c r="D58">
        <f>VLOOKUP([1]!表1[[#This Row],[room_temperature+]],[1]Sheet1!$A$1:$E$295,4,0)</f>
        <v>-6.4327081337257896E-3</v>
      </c>
      <c r="E58">
        <f>VLOOKUP([1]!表1[[#This Row],[room_temperature+]],[1]Sheet1!$A$1:$E$295,5,0)</f>
        <v>186.78399999999999</v>
      </c>
    </row>
    <row r="59" spans="1:5" x14ac:dyDescent="0.2">
      <c r="A59">
        <v>22.814949464003991</v>
      </c>
      <c r="B59">
        <f>VLOOKUP([1]!表1[[#This Row],[room_temperature+]],[1]Sheet1!$A$1:$E$295,2,0)</f>
        <v>-0.1021545061100238</v>
      </c>
      <c r="C59">
        <f>VLOOKUP([1]!表1[[#This Row],[room_temperature+]],[1]Sheet1!$A$1:$E$295,3,0)</f>
        <v>-9.5756525900950754E-2</v>
      </c>
      <c r="D59">
        <f>VLOOKUP([1]!表1[[#This Row],[room_temperature+]],[1]Sheet1!$A$1:$E$295,4,0)</f>
        <v>-6.3979802090730481E-3</v>
      </c>
      <c r="E59">
        <f>VLOOKUP([1]!表1[[#This Row],[room_temperature+]],[1]Sheet1!$A$1:$E$295,5,0)</f>
        <v>187.18799999999999</v>
      </c>
    </row>
    <row r="60" spans="1:5" x14ac:dyDescent="0.2">
      <c r="A60">
        <v>22.81848830515699</v>
      </c>
      <c r="B60">
        <f>VLOOKUP([1]!表1[[#This Row],[room_temperature+]],[1]Sheet1!$A$1:$E$295,2,0)</f>
        <v>-9.3000846390478356E-2</v>
      </c>
      <c r="C60">
        <f>VLOOKUP([1]!表1[[#This Row],[room_temperature+]],[1]Sheet1!$A$1:$E$295,3,0)</f>
        <v>-8.1378294802790879E-2</v>
      </c>
      <c r="D60">
        <f>VLOOKUP([1]!表1[[#This Row],[room_temperature+]],[1]Sheet1!$A$1:$E$295,4,0)</f>
        <v>-1.162255158768748E-2</v>
      </c>
      <c r="E60">
        <f>VLOOKUP([1]!表1[[#This Row],[room_temperature+]],[1]Sheet1!$A$1:$E$295,5,0)</f>
        <v>104.04</v>
      </c>
    </row>
    <row r="61" spans="1:5" x14ac:dyDescent="0.2">
      <c r="A61">
        <v>22.893357953171972</v>
      </c>
      <c r="B61">
        <f>VLOOKUP([1]!表1[[#This Row],[room_temperature+]],[1]Sheet1!$A$1:$E$295,2,0)</f>
        <v>-0.1035366095226611</v>
      </c>
      <c r="C61">
        <f>VLOOKUP([1]!表1[[#This Row],[room_temperature+]],[1]Sheet1!$A$1:$E$295,3,0)</f>
        <v>-9.5512980838751815E-2</v>
      </c>
      <c r="D61">
        <f>VLOOKUP([1]!表1[[#This Row],[room_temperature+]],[1]Sheet1!$A$1:$E$295,4,0)</f>
        <v>-8.0236286839092813E-3</v>
      </c>
      <c r="E61">
        <f>VLOOKUP([1]!表1[[#This Row],[room_temperature+]],[1]Sheet1!$A$1:$E$295,5,0)</f>
        <v>41.799999999999983</v>
      </c>
    </row>
    <row r="62" spans="1:5" x14ac:dyDescent="0.2">
      <c r="A62">
        <v>22.898217338478251</v>
      </c>
      <c r="B62">
        <f>VLOOKUP([1]!表1[[#This Row],[room_temperature+]],[1]Sheet1!$A$1:$E$295,2,0)</f>
        <v>-9.6916448562710228E-2</v>
      </c>
      <c r="C62">
        <f>VLOOKUP([1]!表1[[#This Row],[room_temperature+]],[1]Sheet1!$A$1:$E$295,3,0)</f>
        <v>-9.1140699785310961E-2</v>
      </c>
      <c r="D62">
        <f>VLOOKUP([1]!表1[[#This Row],[room_temperature+]],[1]Sheet1!$A$1:$E$295,4,0)</f>
        <v>-5.7757487773992672E-3</v>
      </c>
      <c r="E62">
        <f>VLOOKUP([1]!表1[[#This Row],[room_temperature+]],[1]Sheet1!$A$1:$E$295,5,0)</f>
        <v>140.6999999999999</v>
      </c>
    </row>
    <row r="63" spans="1:5" x14ac:dyDescent="0.2">
      <c r="A63">
        <v>22.904286654382599</v>
      </c>
      <c r="B63">
        <f>VLOOKUP([1]!表1[[#This Row],[room_temperature+]],[1]Sheet1!$A$1:$E$295,2,0)</f>
        <v>-0.1007914743177754</v>
      </c>
      <c r="C63">
        <f>VLOOKUP([1]!表1[[#This Row],[room_temperature+]],[1]Sheet1!$A$1:$E$295,3,0)</f>
        <v>-9.6178216650070897E-2</v>
      </c>
      <c r="D63">
        <f>VLOOKUP([1]!表1[[#This Row],[room_temperature+]],[1]Sheet1!$A$1:$E$295,4,0)</f>
        <v>-4.6132576677044984E-3</v>
      </c>
      <c r="E63">
        <f>VLOOKUP([1]!表1[[#This Row],[room_temperature+]],[1]Sheet1!$A$1:$E$295,5,0)</f>
        <v>138.78200000000001</v>
      </c>
    </row>
    <row r="64" spans="1:5" x14ac:dyDescent="0.2">
      <c r="A64">
        <v>22.90768590664873</v>
      </c>
      <c r="B64">
        <f>VLOOKUP([1]!表1[[#This Row],[room_temperature+]],[1]Sheet1!$A$1:$E$295,2,0)</f>
        <v>-9.7585070699243159E-2</v>
      </c>
      <c r="C64">
        <f>VLOOKUP([1]!表1[[#This Row],[room_temperature+]],[1]Sheet1!$A$1:$E$295,3,0)</f>
        <v>-9.0359225658459774E-2</v>
      </c>
      <c r="D64">
        <f>VLOOKUP([1]!表1[[#This Row],[room_temperature+]],[1]Sheet1!$A$1:$E$295,4,0)</f>
        <v>-7.2258450407833852E-3</v>
      </c>
      <c r="E64">
        <f>VLOOKUP([1]!表1[[#This Row],[room_temperature+]],[1]Sheet1!$A$1:$E$295,5,0)</f>
        <v>45.094666666666669</v>
      </c>
    </row>
    <row r="65" spans="1:5" x14ac:dyDescent="0.2">
      <c r="A65">
        <v>22.91194852274365</v>
      </c>
      <c r="B65">
        <f>VLOOKUP([1]!表1[[#This Row],[room_temperature+]],[1]Sheet1!$A$1:$E$295,2,0)</f>
        <v>-9.1522930675547676E-2</v>
      </c>
      <c r="C65">
        <f>VLOOKUP([1]!表1[[#This Row],[room_temperature+]],[1]Sheet1!$A$1:$E$295,3,0)</f>
        <v>-8.1517393577724889E-2</v>
      </c>
      <c r="D65">
        <f>VLOOKUP([1]!表1[[#This Row],[room_temperature+]],[1]Sheet1!$A$1:$E$295,4,0)</f>
        <v>-1.000553709782279E-2</v>
      </c>
      <c r="E65">
        <f>VLOOKUP([1]!表1[[#This Row],[room_temperature+]],[1]Sheet1!$A$1:$E$295,5,0)</f>
        <v>104.16</v>
      </c>
    </row>
    <row r="66" spans="1:5" x14ac:dyDescent="0.2">
      <c r="A66">
        <v>22.912567758339211</v>
      </c>
      <c r="B66">
        <f>VLOOKUP([1]!表1[[#This Row],[room_temperature+]],[1]Sheet1!$A$1:$E$295,2,0)</f>
        <v>-9.1583905901792592E-2</v>
      </c>
      <c r="C66">
        <f>VLOOKUP([1]!表1[[#This Row],[room_temperature+]],[1]Sheet1!$A$1:$E$295,3,0)</f>
        <v>-8.1659033882077264E-2</v>
      </c>
      <c r="D66">
        <f>VLOOKUP([1]!表1[[#This Row],[room_temperature+]],[1]Sheet1!$A$1:$E$295,4,0)</f>
        <v>-9.9248720197153278E-3</v>
      </c>
      <c r="E66">
        <f>VLOOKUP([1]!表1[[#This Row],[room_temperature+]],[1]Sheet1!$A$1:$E$295,5,0)</f>
        <v>104.184</v>
      </c>
    </row>
    <row r="67" spans="1:5" x14ac:dyDescent="0.2">
      <c r="A67">
        <v>22.998339630106191</v>
      </c>
      <c r="B67">
        <f>VLOOKUP([1]!表1[[#This Row],[room_temperature+]],[1]Sheet1!$A$1:$E$295,2,0)</f>
        <v>-8.8365455440125112E-2</v>
      </c>
      <c r="C67">
        <f>VLOOKUP([1]!表1[[#This Row],[room_temperature+]],[1]Sheet1!$A$1:$E$295,3,0)</f>
        <v>-7.829790678066656E-2</v>
      </c>
      <c r="D67">
        <f>VLOOKUP([1]!表1[[#This Row],[room_temperature+]],[1]Sheet1!$A$1:$E$295,4,0)</f>
        <v>-1.0067548659458549E-2</v>
      </c>
      <c r="E67">
        <f>VLOOKUP([1]!表1[[#This Row],[room_temperature+]],[1]Sheet1!$A$1:$E$295,5,0)</f>
        <v>22.423999999999999</v>
      </c>
    </row>
    <row r="68" spans="1:5" x14ac:dyDescent="0.2">
      <c r="A68">
        <v>23.00014807284925</v>
      </c>
      <c r="B68">
        <f>VLOOKUP([1]!表1[[#This Row],[room_temperature+]],[1]Sheet1!$A$1:$E$295,2,0)</f>
        <v>-9.4732139397671139E-2</v>
      </c>
      <c r="C68">
        <f>VLOOKUP([1]!表1[[#This Row],[room_temperature+]],[1]Sheet1!$A$1:$E$295,3,0)</f>
        <v>-8.9954174501766598E-2</v>
      </c>
      <c r="D68">
        <f>VLOOKUP([1]!表1[[#This Row],[room_temperature+]],[1]Sheet1!$A$1:$E$295,4,0)</f>
        <v>-4.7779648959045407E-3</v>
      </c>
      <c r="E68">
        <f>VLOOKUP([1]!表1[[#This Row],[room_temperature+]],[1]Sheet1!$A$1:$E$295,5,0)</f>
        <v>865.2619999999996</v>
      </c>
    </row>
    <row r="69" spans="1:5" x14ac:dyDescent="0.2">
      <c r="A69">
        <v>23.002664795161401</v>
      </c>
      <c r="B69">
        <f>VLOOKUP([1]!表1[[#This Row],[room_temperature+]],[1]Sheet1!$A$1:$E$295,2,0)</f>
        <v>-9.9342573090830305E-2</v>
      </c>
      <c r="C69">
        <f>VLOOKUP([1]!表1[[#This Row],[room_temperature+]],[1]Sheet1!$A$1:$E$295,3,0)</f>
        <v>-9.1996529646580505E-2</v>
      </c>
      <c r="D69">
        <f>VLOOKUP([1]!表1[[#This Row],[room_temperature+]],[1]Sheet1!$A$1:$E$295,4,0)</f>
        <v>-7.3460434442498002E-3</v>
      </c>
      <c r="E69">
        <f>VLOOKUP([1]!表1[[#This Row],[room_temperature+]],[1]Sheet1!$A$1:$E$295,5,0)</f>
        <v>22.81066666666668</v>
      </c>
    </row>
    <row r="70" spans="1:5" x14ac:dyDescent="0.2">
      <c r="A70">
        <v>23.003671049993891</v>
      </c>
      <c r="B70">
        <f>VLOOKUP([1]!表1[[#This Row],[room_temperature+]],[1]Sheet1!$A$1:$E$295,2,0)</f>
        <v>-9.7215921234009559E-2</v>
      </c>
      <c r="C70">
        <f>VLOOKUP([1]!表1[[#This Row],[room_temperature+]],[1]Sheet1!$A$1:$E$295,3,0)</f>
        <v>-9.2248681945875141E-2</v>
      </c>
      <c r="D70">
        <f>VLOOKUP([1]!表1[[#This Row],[room_temperature+]],[1]Sheet1!$A$1:$E$295,4,0)</f>
        <v>-4.9672392881344174E-3</v>
      </c>
      <c r="E70">
        <f>VLOOKUP([1]!表1[[#This Row],[room_temperature+]],[1]Sheet1!$A$1:$E$295,5,0)</f>
        <v>864.52799999999968</v>
      </c>
    </row>
    <row r="71" spans="1:5" x14ac:dyDescent="0.2">
      <c r="A71">
        <v>23.00585214282621</v>
      </c>
      <c r="B71">
        <f>VLOOKUP([1]!表1[[#This Row],[room_temperature+]],[1]Sheet1!$A$1:$E$295,2,0)</f>
        <v>-9.1681515392058224E-2</v>
      </c>
      <c r="C71">
        <f>VLOOKUP([1]!表1[[#This Row],[room_temperature+]],[1]Sheet1!$A$1:$E$295,3,0)</f>
        <v>-8.466855718788345E-2</v>
      </c>
      <c r="D71">
        <f>VLOOKUP([1]!表1[[#This Row],[room_temperature+]],[1]Sheet1!$A$1:$E$295,4,0)</f>
        <v>-7.012958204174774E-3</v>
      </c>
      <c r="E71">
        <f>VLOOKUP([1]!表1[[#This Row],[room_temperature+]],[1]Sheet1!$A$1:$E$295,5,0)</f>
        <v>44.763999999999989</v>
      </c>
    </row>
    <row r="72" spans="1:5" x14ac:dyDescent="0.2">
      <c r="A72">
        <v>23.007016739963241</v>
      </c>
      <c r="B72">
        <f>VLOOKUP([1]!表1[[#This Row],[room_temperature+]],[1]Sheet1!$A$1:$E$295,2,0)</f>
        <v>-0.1015380291926434</v>
      </c>
      <c r="C72">
        <f>VLOOKUP([1]!表1[[#This Row],[room_temperature+]],[1]Sheet1!$A$1:$E$295,3,0)</f>
        <v>-9.4273984715810541E-2</v>
      </c>
      <c r="D72">
        <f>VLOOKUP([1]!表1[[#This Row],[room_temperature+]],[1]Sheet1!$A$1:$E$295,4,0)</f>
        <v>-7.2640444768328621E-3</v>
      </c>
      <c r="E72">
        <f>VLOOKUP([1]!表1[[#This Row],[room_temperature+]],[1]Sheet1!$A$1:$E$295,5,0)</f>
        <v>9</v>
      </c>
    </row>
    <row r="73" spans="1:5" x14ac:dyDescent="0.2">
      <c r="A73">
        <v>23.00779251779641</v>
      </c>
      <c r="B73">
        <f>VLOOKUP([1]!表1[[#This Row],[room_temperature+]],[1]Sheet1!$A$1:$E$295,2,0)</f>
        <v>-0.1012776910340123</v>
      </c>
      <c r="C73">
        <f>VLOOKUP([1]!表1[[#This Row],[room_temperature+]],[1]Sheet1!$A$1:$E$295,3,0)</f>
        <v>-9.459906516606649E-2</v>
      </c>
      <c r="D73">
        <f>VLOOKUP([1]!表1[[#This Row],[room_temperature+]],[1]Sheet1!$A$1:$E$295,4,0)</f>
        <v>-6.678625867945806E-3</v>
      </c>
      <c r="E73">
        <f>VLOOKUP([1]!表1[[#This Row],[room_temperature+]],[1]Sheet1!$A$1:$E$295,5,0)</f>
        <v>41.799999999999983</v>
      </c>
    </row>
    <row r="74" spans="1:5" x14ac:dyDescent="0.2">
      <c r="A74">
        <v>23.008630994770709</v>
      </c>
      <c r="B74">
        <f>VLOOKUP([1]!表1[[#This Row],[room_temperature+]],[1]Sheet1!$A$1:$E$295,2,0)</f>
        <v>-0.1005996893467089</v>
      </c>
      <c r="C74">
        <f>VLOOKUP([1]!表1[[#This Row],[room_temperature+]],[1]Sheet1!$A$1:$E$295,3,0)</f>
        <v>-9.3361980993831958E-2</v>
      </c>
      <c r="D74">
        <f>VLOOKUP([1]!表1[[#This Row],[room_temperature+]],[1]Sheet1!$A$1:$E$295,4,0)</f>
        <v>-7.2377083528769454E-3</v>
      </c>
      <c r="E74">
        <f>VLOOKUP([1]!表1[[#This Row],[room_temperature+]],[1]Sheet1!$A$1:$E$295,5,0)</f>
        <v>8.7086666666666694</v>
      </c>
    </row>
    <row r="75" spans="1:5" x14ac:dyDescent="0.2">
      <c r="A75">
        <v>23.01562211526997</v>
      </c>
      <c r="B75">
        <f>VLOOKUP([1]!表1[[#This Row],[room_temperature+]],[1]Sheet1!$A$1:$E$295,2,0)</f>
        <v>-0.1040404590535312</v>
      </c>
      <c r="C75">
        <f>VLOOKUP([1]!表1[[#This Row],[room_temperature+]],[1]Sheet1!$A$1:$E$295,3,0)</f>
        <v>-9.3863318595727024E-2</v>
      </c>
      <c r="D75">
        <f>VLOOKUP([1]!表1[[#This Row],[room_temperature+]],[1]Sheet1!$A$1:$E$295,4,0)</f>
        <v>-1.0177140457804171E-2</v>
      </c>
      <c r="E75">
        <f>VLOOKUP([1]!表1[[#This Row],[room_temperature+]],[1]Sheet1!$A$1:$E$295,5,0)</f>
        <v>351.16933333333338</v>
      </c>
    </row>
    <row r="76" spans="1:5" x14ac:dyDescent="0.2">
      <c r="A76">
        <v>23.01745192939115</v>
      </c>
      <c r="B76">
        <f>VLOOKUP([1]!表1[[#This Row],[room_temperature+]],[1]Sheet1!$A$1:$E$295,2,0)</f>
        <v>-0.10848721203264911</v>
      </c>
      <c r="C76">
        <f>VLOOKUP([1]!表1[[#This Row],[room_temperature+]],[1]Sheet1!$A$1:$E$295,3,0)</f>
        <v>-9.7447569166259407E-2</v>
      </c>
      <c r="D76">
        <f>VLOOKUP([1]!表1[[#This Row],[room_temperature+]],[1]Sheet1!$A$1:$E$295,4,0)</f>
        <v>-1.10396428663897E-2</v>
      </c>
      <c r="E76">
        <f>VLOOKUP([1]!表1[[#This Row],[room_temperature+]],[1]Sheet1!$A$1:$E$295,5,0)</f>
        <v>353.45400000000001</v>
      </c>
    </row>
    <row r="77" spans="1:5" x14ac:dyDescent="0.2">
      <c r="A77">
        <v>23.082490446348579</v>
      </c>
      <c r="B77">
        <f>VLOOKUP([1]!表1[[#This Row],[room_temperature+]],[1]Sheet1!$A$1:$E$295,2,0)</f>
        <v>-9.5501695299965134E-2</v>
      </c>
      <c r="C77">
        <f>VLOOKUP([1]!表1[[#This Row],[room_temperature+]],[1]Sheet1!$A$1:$E$295,3,0)</f>
        <v>-9.0006223682291442E-2</v>
      </c>
      <c r="D77">
        <f>VLOOKUP([1]!表1[[#This Row],[room_temperature+]],[1]Sheet1!$A$1:$E$295,4,0)</f>
        <v>-5.4954716176736917E-3</v>
      </c>
      <c r="E77">
        <f>VLOOKUP([1]!表1[[#This Row],[room_temperature+]],[1]Sheet1!$A$1:$E$295,5,0)</f>
        <v>352.53466666666651</v>
      </c>
    </row>
    <row r="78" spans="1:5" x14ac:dyDescent="0.2">
      <c r="A78">
        <v>23.104498638089591</v>
      </c>
      <c r="B78">
        <f>VLOOKUP([1]!表1[[#This Row],[room_temperature+]],[1]Sheet1!$A$1:$E$295,2,0)</f>
        <v>-9.4600267959377315E-2</v>
      </c>
      <c r="C78">
        <f>VLOOKUP([1]!表1[[#This Row],[room_temperature+]],[1]Sheet1!$A$1:$E$295,3,0)</f>
        <v>-8.8993677599784965E-2</v>
      </c>
      <c r="D78">
        <f>VLOOKUP([1]!表1[[#This Row],[room_temperature+]],[1]Sheet1!$A$1:$E$295,4,0)</f>
        <v>-5.6065903595923514E-3</v>
      </c>
      <c r="E78">
        <f>VLOOKUP([1]!表1[[#This Row],[room_temperature+]],[1]Sheet1!$A$1:$E$295,5,0)</f>
        <v>234.72599999999991</v>
      </c>
    </row>
    <row r="79" spans="1:5" x14ac:dyDescent="0.2">
      <c r="A79">
        <v>23.104737809822499</v>
      </c>
      <c r="B79">
        <f>VLOOKUP([1]!表1[[#This Row],[room_temperature+]],[1]Sheet1!$A$1:$E$295,2,0)</f>
        <v>-9.4626993538626802E-2</v>
      </c>
      <c r="C79">
        <f>VLOOKUP([1]!表1[[#This Row],[room_temperature+]],[1]Sheet1!$A$1:$E$295,3,0)</f>
        <v>-8.9001450873180982E-2</v>
      </c>
      <c r="D79">
        <f>VLOOKUP([1]!表1[[#This Row],[room_temperature+]],[1]Sheet1!$A$1:$E$295,4,0)</f>
        <v>-5.6255426654458207E-3</v>
      </c>
      <c r="E79">
        <f>VLOOKUP([1]!表1[[#This Row],[room_temperature+]],[1]Sheet1!$A$1:$E$295,5,0)</f>
        <v>234.72599999999991</v>
      </c>
    </row>
    <row r="80" spans="1:5" x14ac:dyDescent="0.2">
      <c r="A80">
        <v>23.113955744380149</v>
      </c>
      <c r="B80">
        <f>VLOOKUP([1]!表1[[#This Row],[room_temperature+]],[1]Sheet1!$A$1:$E$295,2,0)</f>
        <v>-9.492090709726321E-2</v>
      </c>
      <c r="C80">
        <f>VLOOKUP([1]!表1[[#This Row],[room_temperature+]],[1]Sheet1!$A$1:$E$295,3,0)</f>
        <v>-9.0230907465895474E-2</v>
      </c>
      <c r="D80">
        <f>VLOOKUP([1]!表1[[#This Row],[room_temperature+]],[1]Sheet1!$A$1:$E$295,4,0)</f>
        <v>-4.6899996313677361E-3</v>
      </c>
      <c r="E80">
        <f>VLOOKUP([1]!表1[[#This Row],[room_temperature+]],[1]Sheet1!$A$1:$E$295,5,0)</f>
        <v>764.92266666666649</v>
      </c>
    </row>
    <row r="81" spans="1:5" x14ac:dyDescent="0.2">
      <c r="A81">
        <v>23.11520718184714</v>
      </c>
      <c r="B81">
        <f>VLOOKUP([1]!表1[[#This Row],[room_temperature+]],[1]Sheet1!$A$1:$E$295,2,0)</f>
        <v>-8.9464067046181525E-2</v>
      </c>
      <c r="C81">
        <f>VLOOKUP([1]!表1[[#This Row],[room_temperature+]],[1]Sheet1!$A$1:$E$295,3,0)</f>
        <v>-7.9389088046992948E-2</v>
      </c>
      <c r="D81">
        <f>VLOOKUP([1]!表1[[#This Row],[room_temperature+]],[1]Sheet1!$A$1:$E$295,4,0)</f>
        <v>-1.0074978999188579E-2</v>
      </c>
      <c r="E81">
        <f>VLOOKUP([1]!表1[[#This Row],[room_temperature+]],[1]Sheet1!$A$1:$E$295,5,0)</f>
        <v>8.8033333333333346</v>
      </c>
    </row>
    <row r="82" spans="1:5" x14ac:dyDescent="0.2">
      <c r="A82">
        <v>23.11555057925105</v>
      </c>
      <c r="B82">
        <f>VLOOKUP([1]!表1[[#This Row],[room_temperature+]],[1]Sheet1!$A$1:$E$295,2,0)</f>
        <v>-9.2779362821571787E-2</v>
      </c>
      <c r="C82">
        <f>VLOOKUP([1]!表1[[#This Row],[room_temperature+]],[1]Sheet1!$A$1:$E$295,3,0)</f>
        <v>-8.5900249217086652E-2</v>
      </c>
      <c r="D82">
        <f>VLOOKUP([1]!表1[[#This Row],[room_temperature+]],[1]Sheet1!$A$1:$E$295,4,0)</f>
        <v>-6.8791136044851348E-3</v>
      </c>
      <c r="E82">
        <f>VLOOKUP([1]!表1[[#This Row],[room_temperature+]],[1]Sheet1!$A$1:$E$295,5,0)</f>
        <v>43.583999999999989</v>
      </c>
    </row>
    <row r="83" spans="1:5" x14ac:dyDescent="0.2">
      <c r="A83">
        <v>23.12024202686672</v>
      </c>
      <c r="B83">
        <f>VLOOKUP([1]!表1[[#This Row],[room_temperature+]],[1]Sheet1!$A$1:$E$295,2,0)</f>
        <v>-8.8553637475305466E-2</v>
      </c>
      <c r="C83">
        <f>VLOOKUP([1]!表1[[#This Row],[room_temperature+]],[1]Sheet1!$A$1:$E$295,3,0)</f>
        <v>-8.1639877109671716E-2</v>
      </c>
      <c r="D83">
        <f>VLOOKUP([1]!表1[[#This Row],[room_temperature+]],[1]Sheet1!$A$1:$E$295,4,0)</f>
        <v>-6.9137603656337504E-3</v>
      </c>
      <c r="E83">
        <f>VLOOKUP([1]!表1[[#This Row],[room_temperature+]],[1]Sheet1!$A$1:$E$295,5,0)</f>
        <v>10.199999999999999</v>
      </c>
    </row>
    <row r="84" spans="1:5" x14ac:dyDescent="0.2">
      <c r="A84">
        <v>23.19405357692667</v>
      </c>
      <c r="B84">
        <f>VLOOKUP([1]!表1[[#This Row],[room_temperature+]],[1]Sheet1!$A$1:$E$295,2,0)</f>
        <v>-9.114898129012465E-2</v>
      </c>
      <c r="C84">
        <f>VLOOKUP([1]!表1[[#This Row],[room_temperature+]],[1]Sheet1!$A$1:$E$295,3,0)</f>
        <v>-8.5612977187816547E-2</v>
      </c>
      <c r="D84">
        <f>VLOOKUP([1]!表1[[#This Row],[room_temperature+]],[1]Sheet1!$A$1:$E$295,4,0)</f>
        <v>-5.5360041023081036E-3</v>
      </c>
      <c r="E84">
        <f>VLOOKUP([1]!表1[[#This Row],[room_temperature+]],[1]Sheet1!$A$1:$E$295,5,0)</f>
        <v>293.45733333333322</v>
      </c>
    </row>
    <row r="85" spans="1:5" x14ac:dyDescent="0.2">
      <c r="A85">
        <v>23.196199157178459</v>
      </c>
      <c r="B85">
        <f>VLOOKUP([1]!表1[[#This Row],[room_temperature+]],[1]Sheet1!$A$1:$E$295,2,0)</f>
        <v>-8.7971172540343021E-2</v>
      </c>
      <c r="C85">
        <f>VLOOKUP([1]!表1[[#This Row],[room_temperature+]],[1]Sheet1!$A$1:$E$295,3,0)</f>
        <v>-7.9113692467415439E-2</v>
      </c>
      <c r="D85">
        <f>VLOOKUP([1]!表1[[#This Row],[room_temperature+]],[1]Sheet1!$A$1:$E$295,4,0)</f>
        <v>-8.8574800729275815E-3</v>
      </c>
      <c r="E85">
        <f>VLOOKUP([1]!表1[[#This Row],[room_temperature+]],[1]Sheet1!$A$1:$E$295,5,0)</f>
        <v>293.52200000000011</v>
      </c>
    </row>
    <row r="86" spans="1:5" x14ac:dyDescent="0.2">
      <c r="A86">
        <v>23.199916641462121</v>
      </c>
      <c r="B86">
        <f>VLOOKUP([1]!表1[[#This Row],[room_temperature+]],[1]Sheet1!$A$1:$E$295,2,0)</f>
        <v>-8.2860799298511187E-2</v>
      </c>
      <c r="C86">
        <f>VLOOKUP([1]!表1[[#This Row],[room_temperature+]],[1]Sheet1!$A$1:$E$295,3,0)</f>
        <v>-7.6024049172005809E-2</v>
      </c>
      <c r="D86">
        <f>VLOOKUP([1]!表1[[#This Row],[room_temperature+]],[1]Sheet1!$A$1:$E$295,4,0)</f>
        <v>-6.8367501265053782E-3</v>
      </c>
      <c r="E86">
        <f>VLOOKUP([1]!表1[[#This Row],[room_temperature+]],[1]Sheet1!$A$1:$E$295,5,0)</f>
        <v>7.9099999999999993</v>
      </c>
    </row>
    <row r="87" spans="1:5" x14ac:dyDescent="0.2">
      <c r="A87">
        <v>23.20543597989403</v>
      </c>
      <c r="B87">
        <f>VLOOKUP([1]!表1[[#This Row],[room_temperature+]],[1]Sheet1!$A$1:$E$295,2,0)</f>
        <v>-8.5547583075141709E-2</v>
      </c>
      <c r="C87">
        <f>VLOOKUP([1]!表1[[#This Row],[room_temperature+]],[1]Sheet1!$A$1:$E$295,3,0)</f>
        <v>-7.6673342944849829E-2</v>
      </c>
      <c r="D87">
        <f>VLOOKUP([1]!表1[[#This Row],[room_temperature+]],[1]Sheet1!$A$1:$E$295,4,0)</f>
        <v>-8.87424013029188E-3</v>
      </c>
      <c r="E87">
        <f>VLOOKUP([1]!表1[[#This Row],[room_temperature+]],[1]Sheet1!$A$1:$E$295,5,0)</f>
        <v>1.402666666666667</v>
      </c>
    </row>
    <row r="88" spans="1:5" x14ac:dyDescent="0.2">
      <c r="A88">
        <v>23.205823147526491</v>
      </c>
      <c r="B88">
        <f>VLOOKUP([1]!表1[[#This Row],[room_temperature+]],[1]Sheet1!$A$1:$E$295,2,0)</f>
        <v>-8.6308586970414686E-2</v>
      </c>
      <c r="C88">
        <f>VLOOKUP([1]!表1[[#This Row],[room_temperature+]],[1]Sheet1!$A$1:$E$295,3,0)</f>
        <v>-7.9846594542936244E-2</v>
      </c>
      <c r="D88">
        <f>VLOOKUP([1]!表1[[#This Row],[room_temperature+]],[1]Sheet1!$A$1:$E$295,4,0)</f>
        <v>-6.4619924274784413E-3</v>
      </c>
      <c r="E88">
        <f>VLOOKUP([1]!表1[[#This Row],[room_temperature+]],[1]Sheet1!$A$1:$E$295,5,0)</f>
        <v>989.98333333333335</v>
      </c>
    </row>
    <row r="89" spans="1:5" x14ac:dyDescent="0.2">
      <c r="A89">
        <v>23.206306525539929</v>
      </c>
      <c r="B89">
        <f>VLOOKUP([1]!表1[[#This Row],[room_temperature+]],[1]Sheet1!$A$1:$E$295,2,0)</f>
        <v>-8.6295152041772294E-2</v>
      </c>
      <c r="C89">
        <f>VLOOKUP([1]!表1[[#This Row],[room_temperature+]],[1]Sheet1!$A$1:$E$295,3,0)</f>
        <v>-7.9798470152205397E-2</v>
      </c>
      <c r="D89">
        <f>VLOOKUP([1]!表1[[#This Row],[room_temperature+]],[1]Sheet1!$A$1:$E$295,4,0)</f>
        <v>-6.4966818895668974E-3</v>
      </c>
      <c r="E89">
        <f>VLOOKUP([1]!表1[[#This Row],[room_temperature+]],[1]Sheet1!$A$1:$E$295,5,0)</f>
        <v>989.74733333333347</v>
      </c>
    </row>
    <row r="90" spans="1:5" x14ac:dyDescent="0.2">
      <c r="A90">
        <v>23.20711203984785</v>
      </c>
      <c r="B90">
        <f>VLOOKUP([1]!表1[[#This Row],[room_temperature+]],[1]Sheet1!$A$1:$E$295,2,0)</f>
        <v>-9.1805046964335751E-2</v>
      </c>
      <c r="C90">
        <f>VLOOKUP([1]!表1[[#This Row],[room_temperature+]],[1]Sheet1!$A$1:$E$295,3,0)</f>
        <v>-8.3070201714276537E-2</v>
      </c>
      <c r="D90">
        <f>VLOOKUP([1]!表1[[#This Row],[room_temperature+]],[1]Sheet1!$A$1:$E$295,4,0)</f>
        <v>-8.7348452500592144E-3</v>
      </c>
      <c r="E90">
        <f>VLOOKUP([1]!表1[[#This Row],[room_temperature+]],[1]Sheet1!$A$1:$E$295,5,0)</f>
        <v>503.99599999999998</v>
      </c>
    </row>
    <row r="91" spans="1:5" x14ac:dyDescent="0.2">
      <c r="A91">
        <v>23.208251301293039</v>
      </c>
      <c r="B91">
        <f>VLOOKUP([1]!表1[[#This Row],[room_temperature+]],[1]Sheet1!$A$1:$E$295,2,0)</f>
        <v>-8.5537329503856896E-2</v>
      </c>
      <c r="C91">
        <f>VLOOKUP([1]!表1[[#This Row],[room_temperature+]],[1]Sheet1!$A$1:$E$295,3,0)</f>
        <v>-7.5520783277346931E-2</v>
      </c>
      <c r="D91">
        <f>VLOOKUP([1]!表1[[#This Row],[room_temperature+]],[1]Sheet1!$A$1:$E$295,4,0)</f>
        <v>-1.001654622650996E-2</v>
      </c>
      <c r="E91">
        <f>VLOOKUP([1]!表1[[#This Row],[room_temperature+]],[1]Sheet1!$A$1:$E$295,5,0)</f>
        <v>1.450666666666667</v>
      </c>
    </row>
    <row r="92" spans="1:5" x14ac:dyDescent="0.2">
      <c r="A92">
        <v>23.208717625436041</v>
      </c>
      <c r="B92">
        <f>VLOOKUP([1]!表1[[#This Row],[room_temperature+]],[1]Sheet1!$A$1:$E$295,2,0)</f>
        <v>-9.0987020323638396E-2</v>
      </c>
      <c r="C92">
        <f>VLOOKUP([1]!表1[[#This Row],[room_temperature+]],[1]Sheet1!$A$1:$E$295,3,0)</f>
        <v>-8.4244819500581353E-2</v>
      </c>
      <c r="D92">
        <f>VLOOKUP([1]!表1[[#This Row],[room_temperature+]],[1]Sheet1!$A$1:$E$295,4,0)</f>
        <v>-6.7422008230570429E-3</v>
      </c>
      <c r="E92">
        <f>VLOOKUP([1]!表1[[#This Row],[room_temperature+]],[1]Sheet1!$A$1:$E$295,5,0)</f>
        <v>103.836</v>
      </c>
    </row>
    <row r="93" spans="1:5" x14ac:dyDescent="0.2">
      <c r="A93">
        <v>23.209116320220179</v>
      </c>
      <c r="B93">
        <f>VLOOKUP([1]!表1[[#This Row],[room_temperature+]],[1]Sheet1!$A$1:$E$295,2,0)</f>
        <v>-9.303481799739971E-2</v>
      </c>
      <c r="C93">
        <f>VLOOKUP([1]!表1[[#This Row],[room_temperature+]],[1]Sheet1!$A$1:$E$295,3,0)</f>
        <v>-8.7766966929635495E-2</v>
      </c>
      <c r="D93">
        <f>VLOOKUP([1]!表1[[#This Row],[room_temperature+]],[1]Sheet1!$A$1:$E$295,4,0)</f>
        <v>-5.2678510677642149E-3</v>
      </c>
      <c r="E93">
        <f>VLOOKUP([1]!表1[[#This Row],[room_temperature+]],[1]Sheet1!$A$1:$E$295,5,0)</f>
        <v>671.78399999999988</v>
      </c>
    </row>
    <row r="94" spans="1:5" x14ac:dyDescent="0.2">
      <c r="A94">
        <v>23.209160897135781</v>
      </c>
      <c r="B94">
        <f>VLOOKUP([1]!表1[[#This Row],[room_temperature+]],[1]Sheet1!$A$1:$E$295,2,0)</f>
        <v>-9.1696690024459404E-2</v>
      </c>
      <c r="C94">
        <f>VLOOKUP([1]!表1[[#This Row],[room_temperature+]],[1]Sheet1!$A$1:$E$295,3,0)</f>
        <v>-8.6121382158456466E-2</v>
      </c>
      <c r="D94">
        <f>VLOOKUP([1]!表1[[#This Row],[room_temperature+]],[1]Sheet1!$A$1:$E$295,4,0)</f>
        <v>-5.5753078660029376E-3</v>
      </c>
      <c r="E94">
        <f>VLOOKUP([1]!表1[[#This Row],[room_temperature+]],[1]Sheet1!$A$1:$E$295,5,0)</f>
        <v>672.21333333333303</v>
      </c>
    </row>
    <row r="95" spans="1:5" x14ac:dyDescent="0.2">
      <c r="A95">
        <v>23.209557823105889</v>
      </c>
      <c r="B95">
        <f>VLOOKUP([1]!表1[[#This Row],[room_temperature+]],[1]Sheet1!$A$1:$E$295,2,0)</f>
        <v>-9.5905138564717968E-2</v>
      </c>
      <c r="C95">
        <f>VLOOKUP([1]!表1[[#This Row],[room_temperature+]],[1]Sheet1!$A$1:$E$295,3,0)</f>
        <v>-8.7833945932065324E-2</v>
      </c>
      <c r="D95">
        <f>VLOOKUP([1]!表1[[#This Row],[room_temperature+]],[1]Sheet1!$A$1:$E$295,4,0)</f>
        <v>-8.0711926326526434E-3</v>
      </c>
      <c r="E95">
        <f>VLOOKUP([1]!表1[[#This Row],[room_temperature+]],[1]Sheet1!$A$1:$E$295,5,0)</f>
        <v>503.49200000000008</v>
      </c>
    </row>
    <row r="96" spans="1:5" x14ac:dyDescent="0.2">
      <c r="A96">
        <v>23.212158991830609</v>
      </c>
      <c r="B96">
        <f>VLOOKUP([1]!表1[[#This Row],[room_temperature+]],[1]Sheet1!$A$1:$E$295,2,0)</f>
        <v>-9.4422575893644264E-2</v>
      </c>
      <c r="C96">
        <f>VLOOKUP([1]!表1[[#This Row],[room_temperature+]],[1]Sheet1!$A$1:$E$295,3,0)</f>
        <v>-8.7298092114165851E-2</v>
      </c>
      <c r="D96">
        <f>VLOOKUP([1]!表1[[#This Row],[room_temperature+]],[1]Sheet1!$A$1:$E$295,4,0)</f>
        <v>-7.1244837794784133E-3</v>
      </c>
      <c r="E96">
        <f>VLOOKUP([1]!表1[[#This Row],[room_temperature+]],[1]Sheet1!$A$1:$E$295,5,0)</f>
        <v>24.039333333333332</v>
      </c>
    </row>
    <row r="97" spans="1:5" x14ac:dyDescent="0.2">
      <c r="A97">
        <v>23.214045161549681</v>
      </c>
      <c r="B97">
        <f>VLOOKUP([1]!表1[[#This Row],[room_temperature+]],[1]Sheet1!$A$1:$E$295,2,0)</f>
        <v>-9.1844184960814798E-2</v>
      </c>
      <c r="C97">
        <f>VLOOKUP([1]!表1[[#This Row],[room_temperature+]],[1]Sheet1!$A$1:$E$295,3,0)</f>
        <v>-8.1838779890267263E-2</v>
      </c>
      <c r="D97">
        <f>VLOOKUP([1]!表1[[#This Row],[room_temperature+]],[1]Sheet1!$A$1:$E$295,4,0)</f>
        <v>-1.000540507054754E-2</v>
      </c>
      <c r="E97">
        <f>VLOOKUP([1]!表1[[#This Row],[room_temperature+]],[1]Sheet1!$A$1:$E$295,5,0)</f>
        <v>22.36266666666668</v>
      </c>
    </row>
    <row r="98" spans="1:5" x14ac:dyDescent="0.2">
      <c r="A98">
        <v>23.21557051025442</v>
      </c>
      <c r="B98">
        <f>VLOOKUP([1]!表1[[#This Row],[room_temperature+]],[1]Sheet1!$A$1:$E$295,2,0)</f>
        <v>-8.841188854483599E-2</v>
      </c>
      <c r="C98">
        <f>VLOOKUP([1]!表1[[#This Row],[room_temperature+]],[1]Sheet1!$A$1:$E$295,3,0)</f>
        <v>-8.3261711412192338E-2</v>
      </c>
      <c r="D98">
        <f>VLOOKUP([1]!表1[[#This Row],[room_temperature+]],[1]Sheet1!$A$1:$E$295,4,0)</f>
        <v>-5.1501771326436518E-3</v>
      </c>
      <c r="E98">
        <f>VLOOKUP([1]!表1[[#This Row],[room_temperature+]],[1]Sheet1!$A$1:$E$295,5,0)</f>
        <v>189.96533333333321</v>
      </c>
    </row>
    <row r="99" spans="1:5" x14ac:dyDescent="0.2">
      <c r="A99">
        <v>23.21836408026649</v>
      </c>
      <c r="B99">
        <f>VLOOKUP([1]!表1[[#This Row],[room_temperature+]],[1]Sheet1!$A$1:$E$295,2,0)</f>
        <v>-9.3530230052681282E-2</v>
      </c>
      <c r="C99">
        <f>VLOOKUP([1]!表1[[#This Row],[room_temperature+]],[1]Sheet1!$A$1:$E$295,3,0)</f>
        <v>-8.7341852180484528E-2</v>
      </c>
      <c r="D99">
        <f>VLOOKUP([1]!表1[[#This Row],[room_temperature+]],[1]Sheet1!$A$1:$E$295,4,0)</f>
        <v>-6.1883778721967542E-3</v>
      </c>
      <c r="E99">
        <f>VLOOKUP([1]!表1[[#This Row],[room_temperature+]],[1]Sheet1!$A$1:$E$295,5,0)</f>
        <v>69.540000000000006</v>
      </c>
    </row>
    <row r="100" spans="1:5" x14ac:dyDescent="0.2">
      <c r="A100">
        <v>23.29887313887447</v>
      </c>
      <c r="B100">
        <f>VLOOKUP([1]!表1[[#This Row],[room_temperature+]],[1]Sheet1!$A$1:$E$295,2,0)</f>
        <v>-8.9780280850299238E-2</v>
      </c>
      <c r="C100">
        <f>VLOOKUP([1]!表1[[#This Row],[room_temperature+]],[1]Sheet1!$A$1:$E$295,3,0)</f>
        <v>-8.3067120268657743E-2</v>
      </c>
      <c r="D100">
        <f>VLOOKUP([1]!表1[[#This Row],[room_temperature+]],[1]Sheet1!$A$1:$E$295,4,0)</f>
        <v>-6.7131605816414947E-3</v>
      </c>
      <c r="E100">
        <f>VLOOKUP([1]!表1[[#This Row],[room_temperature+]],[1]Sheet1!$A$1:$E$295,5,0)</f>
        <v>140.6999999999999</v>
      </c>
    </row>
    <row r="101" spans="1:5" x14ac:dyDescent="0.2">
      <c r="A101">
        <v>23.300714210783259</v>
      </c>
      <c r="B101">
        <f>VLOOKUP([1]!表1[[#This Row],[room_temperature+]],[1]Sheet1!$A$1:$E$295,2,0)</f>
        <v>-8.2390707221413353E-2</v>
      </c>
      <c r="C101">
        <f>VLOOKUP([1]!表1[[#This Row],[room_temperature+]],[1]Sheet1!$A$1:$E$295,3,0)</f>
        <v>-7.8893792918152933E-2</v>
      </c>
      <c r="D101">
        <f>VLOOKUP([1]!表1[[#This Row],[room_temperature+]],[1]Sheet1!$A$1:$E$295,4,0)</f>
        <v>-3.496914303260421E-3</v>
      </c>
      <c r="E101">
        <f>VLOOKUP([1]!表1[[#This Row],[room_temperature+]],[1]Sheet1!$A$1:$E$295,5,0)</f>
        <v>422.78399999999982</v>
      </c>
    </row>
    <row r="102" spans="1:5" x14ac:dyDescent="0.2">
      <c r="A102">
        <v>23.308619608945861</v>
      </c>
      <c r="B102">
        <f>VLOOKUP([1]!表1[[#This Row],[room_temperature+]],[1]Sheet1!$A$1:$E$295,2,0)</f>
        <v>-8.9722256797513777E-2</v>
      </c>
      <c r="C102">
        <f>VLOOKUP([1]!表1[[#This Row],[room_temperature+]],[1]Sheet1!$A$1:$E$295,3,0)</f>
        <v>-8.4389181411754596E-2</v>
      </c>
      <c r="D102">
        <f>VLOOKUP([1]!表1[[#This Row],[room_temperature+]],[1]Sheet1!$A$1:$E$295,4,0)</f>
        <v>-5.3330753857591812E-3</v>
      </c>
      <c r="E102">
        <f>VLOOKUP([1]!表1[[#This Row],[room_temperature+]],[1]Sheet1!$A$1:$E$295,5,0)</f>
        <v>66.542000000000002</v>
      </c>
    </row>
    <row r="103" spans="1:5" x14ac:dyDescent="0.2">
      <c r="A103">
        <v>23.308668405537858</v>
      </c>
      <c r="B103">
        <f>VLOOKUP([1]!表1[[#This Row],[room_temperature+]],[1]Sheet1!$A$1:$E$295,2,0)</f>
        <v>-9.0885043579746916E-2</v>
      </c>
      <c r="C103">
        <f>VLOOKUP([1]!表1[[#This Row],[room_temperature+]],[1]Sheet1!$A$1:$E$295,3,0)</f>
        <v>-8.5386280839083811E-2</v>
      </c>
      <c r="D103">
        <f>VLOOKUP([1]!表1[[#This Row],[room_temperature+]],[1]Sheet1!$A$1:$E$295,4,0)</f>
        <v>-5.4987627406631054E-3</v>
      </c>
      <c r="E103">
        <f>VLOOKUP([1]!表1[[#This Row],[room_temperature+]],[1]Sheet1!$A$1:$E$295,5,0)</f>
        <v>234.90000000000009</v>
      </c>
    </row>
    <row r="104" spans="1:5" x14ac:dyDescent="0.2">
      <c r="A104">
        <v>23.30957325407039</v>
      </c>
      <c r="B104">
        <f>VLOOKUP([1]!表1[[#This Row],[room_temperature+]],[1]Sheet1!$A$1:$E$295,2,0)</f>
        <v>-8.4725260610737471E-2</v>
      </c>
      <c r="C104">
        <f>VLOOKUP([1]!表1[[#This Row],[room_temperature+]],[1]Sheet1!$A$1:$E$295,3,0)</f>
        <v>-7.5780969553936373E-2</v>
      </c>
      <c r="D104">
        <f>VLOOKUP([1]!表1[[#This Row],[room_temperature+]],[1]Sheet1!$A$1:$E$295,4,0)</f>
        <v>-8.9442910568010986E-3</v>
      </c>
      <c r="E104">
        <f>VLOOKUP([1]!表1[[#This Row],[room_temperature+]],[1]Sheet1!$A$1:$E$295,5,0)</f>
        <v>350.55733333333342</v>
      </c>
    </row>
    <row r="105" spans="1:5" x14ac:dyDescent="0.2">
      <c r="A105">
        <v>23.312560593157091</v>
      </c>
      <c r="B105">
        <f>VLOOKUP([1]!表1[[#This Row],[room_temperature+]],[1]Sheet1!$A$1:$E$295,2,0)</f>
        <v>-9.100119967032011E-2</v>
      </c>
      <c r="C105">
        <f>VLOOKUP([1]!表1[[#This Row],[room_temperature+]],[1]Sheet1!$A$1:$E$295,3,0)</f>
        <v>-8.6111856149388349E-2</v>
      </c>
      <c r="D105">
        <f>VLOOKUP([1]!表1[[#This Row],[room_temperature+]],[1]Sheet1!$A$1:$E$295,4,0)</f>
        <v>-4.8893435209317604E-3</v>
      </c>
      <c r="E105">
        <f>VLOOKUP([1]!表1[[#This Row],[room_temperature+]],[1]Sheet1!$A$1:$E$295,5,0)</f>
        <v>134.93800000000019</v>
      </c>
    </row>
    <row r="106" spans="1:5" x14ac:dyDescent="0.2">
      <c r="A106">
        <v>23.3138140955121</v>
      </c>
      <c r="B106">
        <f>VLOOKUP([1]!表1[[#This Row],[room_temperature+]],[1]Sheet1!$A$1:$E$295,2,0)</f>
        <v>-8.6320625329043499E-2</v>
      </c>
      <c r="C106">
        <f>VLOOKUP([1]!表1[[#This Row],[room_temperature+]],[1]Sheet1!$A$1:$E$295,3,0)</f>
        <v>-8.2585839047966916E-2</v>
      </c>
      <c r="D106">
        <f>VLOOKUP([1]!表1[[#This Row],[room_temperature+]],[1]Sheet1!$A$1:$E$295,4,0)</f>
        <v>-3.7347862810765829E-3</v>
      </c>
      <c r="E106">
        <f>VLOOKUP([1]!表1[[#This Row],[room_temperature+]],[1]Sheet1!$A$1:$E$295,5,0)</f>
        <v>288.84933333333339</v>
      </c>
    </row>
    <row r="107" spans="1:5" x14ac:dyDescent="0.2">
      <c r="A107">
        <v>23.314629908339871</v>
      </c>
      <c r="B107">
        <f>VLOOKUP([1]!表1[[#This Row],[room_temperature+]],[1]Sheet1!$A$1:$E$295,2,0)</f>
        <v>-8.4267392129412783E-2</v>
      </c>
      <c r="C107">
        <f>VLOOKUP([1]!表1[[#This Row],[room_temperature+]],[1]Sheet1!$A$1:$E$295,3,0)</f>
        <v>-8.0050415099596511E-2</v>
      </c>
      <c r="D107">
        <f>VLOOKUP([1]!表1[[#This Row],[room_temperature+]],[1]Sheet1!$A$1:$E$295,4,0)</f>
        <v>-4.2169770298162712E-3</v>
      </c>
      <c r="E107">
        <f>VLOOKUP([1]!表1[[#This Row],[room_temperature+]],[1]Sheet1!$A$1:$E$295,5,0)</f>
        <v>589.1</v>
      </c>
    </row>
    <row r="108" spans="1:5" x14ac:dyDescent="0.2">
      <c r="A108">
        <v>23.31479367720349</v>
      </c>
      <c r="B108">
        <f>VLOOKUP([1]!表1[[#This Row],[room_temperature+]],[1]Sheet1!$A$1:$E$295,2,0)</f>
        <v>-8.4276889120525791E-2</v>
      </c>
      <c r="C108">
        <f>VLOOKUP([1]!表1[[#This Row],[room_temperature+]],[1]Sheet1!$A$1:$E$295,3,0)</f>
        <v>-8.0105624226474353E-2</v>
      </c>
      <c r="D108">
        <f>VLOOKUP([1]!表1[[#This Row],[room_temperature+]],[1]Sheet1!$A$1:$E$295,4,0)</f>
        <v>-4.171264894051438E-3</v>
      </c>
      <c r="E108">
        <f>VLOOKUP([1]!表1[[#This Row],[room_temperature+]],[1]Sheet1!$A$1:$E$295,5,0)</f>
        <v>589.0086666666665</v>
      </c>
    </row>
    <row r="109" spans="1:5" x14ac:dyDescent="0.2">
      <c r="A109">
        <v>23.316316110419269</v>
      </c>
      <c r="B109">
        <f>VLOOKUP([1]!表1[[#This Row],[room_temperature+]],[1]Sheet1!$A$1:$E$295,2,0)</f>
        <v>-8.5353134192829014E-2</v>
      </c>
      <c r="C109">
        <f>VLOOKUP([1]!表1[[#This Row],[room_temperature+]],[1]Sheet1!$A$1:$E$295,3,0)</f>
        <v>-8.0992676059432875E-2</v>
      </c>
      <c r="D109">
        <f>VLOOKUP([1]!表1[[#This Row],[room_temperature+]],[1]Sheet1!$A$1:$E$295,4,0)</f>
        <v>-4.360458133396139E-3</v>
      </c>
      <c r="E109">
        <f>VLOOKUP([1]!表1[[#This Row],[room_temperature+]],[1]Sheet1!$A$1:$E$295,5,0)</f>
        <v>588.73466666666707</v>
      </c>
    </row>
    <row r="110" spans="1:5" x14ac:dyDescent="0.2">
      <c r="A110">
        <v>23.31677270159096</v>
      </c>
      <c r="B110">
        <f>VLOOKUP([1]!表1[[#This Row],[room_temperature+]],[1]Sheet1!$A$1:$E$295,2,0)</f>
        <v>-8.192452179721256E-2</v>
      </c>
      <c r="C110">
        <f>VLOOKUP([1]!表1[[#This Row],[room_temperature+]],[1]Sheet1!$A$1:$E$295,3,0)</f>
        <v>-7.7598278500432563E-2</v>
      </c>
      <c r="D110">
        <f>VLOOKUP([1]!表1[[#This Row],[room_temperature+]],[1]Sheet1!$A$1:$E$295,4,0)</f>
        <v>-4.3262432967799969E-3</v>
      </c>
      <c r="E110">
        <f>VLOOKUP([1]!表1[[#This Row],[room_temperature+]],[1]Sheet1!$A$1:$E$295,5,0)</f>
        <v>588.82600000000014</v>
      </c>
    </row>
    <row r="111" spans="1:5" x14ac:dyDescent="0.2">
      <c r="A111">
        <v>23.317254100236511</v>
      </c>
      <c r="B111">
        <f>VLOOKUP([1]!表1[[#This Row],[room_temperature+]],[1]Sheet1!$A$1:$E$295,2,0)</f>
        <v>-9.093000740333626E-2</v>
      </c>
      <c r="C111">
        <f>VLOOKUP([1]!表1[[#This Row],[room_temperature+]],[1]Sheet1!$A$1:$E$295,3,0)</f>
        <v>-8.5790995866458247E-2</v>
      </c>
      <c r="D111">
        <f>VLOOKUP([1]!表1[[#This Row],[room_temperature+]],[1]Sheet1!$A$1:$E$295,4,0)</f>
        <v>-5.1390115368780132E-3</v>
      </c>
      <c r="E111">
        <f>VLOOKUP([1]!表1[[#This Row],[room_temperature+]],[1]Sheet1!$A$1:$E$295,5,0)</f>
        <v>503.74799999999982</v>
      </c>
    </row>
    <row r="112" spans="1:5" x14ac:dyDescent="0.2">
      <c r="A112">
        <v>23.318254421162671</v>
      </c>
      <c r="B112">
        <f>VLOOKUP([1]!表1[[#This Row],[room_temperature+]],[1]Sheet1!$A$1:$E$295,2,0)</f>
        <v>-9.9688663531084701E-2</v>
      </c>
      <c r="C112">
        <f>VLOOKUP([1]!表1[[#This Row],[room_temperature+]],[1]Sheet1!$A$1:$E$295,3,0)</f>
        <v>-9.5555477944744158E-2</v>
      </c>
      <c r="D112">
        <f>VLOOKUP([1]!表1[[#This Row],[room_temperature+]],[1]Sheet1!$A$1:$E$295,4,0)</f>
        <v>-4.1331855863405431E-3</v>
      </c>
      <c r="E112">
        <f>VLOOKUP([1]!表1[[#This Row],[room_temperature+]],[1]Sheet1!$A$1:$E$295,5,0)</f>
        <v>69.139999999999986</v>
      </c>
    </row>
    <row r="113" spans="1:5" x14ac:dyDescent="0.2">
      <c r="A113">
        <v>23.319462589419761</v>
      </c>
      <c r="B113">
        <f>VLOOKUP([1]!表1[[#This Row],[room_temperature+]],[1]Sheet1!$A$1:$E$295,2,0)</f>
        <v>-8.8171968411754939E-2</v>
      </c>
      <c r="C113">
        <f>VLOOKUP([1]!表1[[#This Row],[room_temperature+]],[1]Sheet1!$A$1:$E$295,3,0)</f>
        <v>-8.2886613213245461E-2</v>
      </c>
      <c r="D113">
        <f>VLOOKUP([1]!表1[[#This Row],[room_temperature+]],[1]Sheet1!$A$1:$E$295,4,0)</f>
        <v>-5.2853551985094782E-3</v>
      </c>
      <c r="E113">
        <f>VLOOKUP([1]!表1[[#This Row],[room_temperature+]],[1]Sheet1!$A$1:$E$295,5,0)</f>
        <v>503.45733333333351</v>
      </c>
    </row>
    <row r="114" spans="1:5" x14ac:dyDescent="0.2">
      <c r="A114">
        <v>23.320815336510151</v>
      </c>
      <c r="B114">
        <f>VLOOKUP([1]!表1[[#This Row],[room_temperature+]],[1]Sheet1!$A$1:$E$295,2,0)</f>
        <v>-8.3944899579261378E-2</v>
      </c>
      <c r="C114">
        <f>VLOOKUP([1]!表1[[#This Row],[room_temperature+]],[1]Sheet1!$A$1:$E$295,3,0)</f>
        <v>-7.4259123603140881E-2</v>
      </c>
      <c r="D114">
        <f>VLOOKUP([1]!表1[[#This Row],[room_temperature+]],[1]Sheet1!$A$1:$E$295,4,0)</f>
        <v>-9.6857759761204976E-3</v>
      </c>
      <c r="E114">
        <f>VLOOKUP([1]!表1[[#This Row],[room_temperature+]],[1]Sheet1!$A$1:$E$295,5,0)</f>
        <v>291.32333333333338</v>
      </c>
    </row>
    <row r="115" spans="1:5" x14ac:dyDescent="0.2">
      <c r="A115">
        <v>23.409858448806219</v>
      </c>
      <c r="B115">
        <f>VLOOKUP([1]!表1[[#This Row],[room_temperature+]],[1]Sheet1!$A$1:$E$295,2,0)</f>
        <v>-8.2797365081496793E-2</v>
      </c>
      <c r="C115">
        <f>VLOOKUP([1]!表1[[#This Row],[room_temperature+]],[1]Sheet1!$A$1:$E$295,3,0)</f>
        <v>-7.7284857202644261E-2</v>
      </c>
      <c r="D115">
        <f>VLOOKUP([1]!表1[[#This Row],[room_temperature+]],[1]Sheet1!$A$1:$E$295,4,0)</f>
        <v>-5.5125078788525322E-3</v>
      </c>
      <c r="E115">
        <f>VLOOKUP([1]!表1[[#This Row],[room_temperature+]],[1]Sheet1!$A$1:$E$295,5,0)</f>
        <v>578.07666666666682</v>
      </c>
    </row>
    <row r="116" spans="1:5" x14ac:dyDescent="0.2">
      <c r="A116">
        <v>23.417346794818691</v>
      </c>
      <c r="B116">
        <f>VLOOKUP([1]!表1[[#This Row],[room_temperature+]],[1]Sheet1!$A$1:$E$295,2,0)</f>
        <v>-6.9166061047797905E-2</v>
      </c>
      <c r="C116">
        <f>VLOOKUP([1]!表1[[#This Row],[room_temperature+]],[1]Sheet1!$A$1:$E$295,3,0)</f>
        <v>-6.2521941709927947E-2</v>
      </c>
      <c r="D116">
        <f>VLOOKUP([1]!表1[[#This Row],[room_temperature+]],[1]Sheet1!$A$1:$E$295,4,0)</f>
        <v>-6.6441193378699581E-3</v>
      </c>
      <c r="E116">
        <f>VLOOKUP([1]!表1[[#This Row],[room_temperature+]],[1]Sheet1!$A$1:$E$295,5,0)</f>
        <v>671.5999999999998</v>
      </c>
    </row>
    <row r="117" spans="1:5" x14ac:dyDescent="0.2">
      <c r="A117">
        <v>23.421699630596891</v>
      </c>
      <c r="B117">
        <f>VLOOKUP([1]!表1[[#This Row],[room_temperature+]],[1]Sheet1!$A$1:$E$295,2,0)</f>
        <v>-9.9427349210209598E-2</v>
      </c>
      <c r="C117">
        <f>VLOOKUP([1]!表1[[#This Row],[room_temperature+]],[1]Sheet1!$A$1:$E$295,3,0)</f>
        <v>-9.5684176726955533E-2</v>
      </c>
      <c r="D117">
        <f>VLOOKUP([1]!表1[[#This Row],[room_temperature+]],[1]Sheet1!$A$1:$E$295,4,0)</f>
        <v>-3.7431724832540651E-3</v>
      </c>
      <c r="E117">
        <f>VLOOKUP([1]!表1[[#This Row],[room_temperature+]],[1]Sheet1!$A$1:$E$295,5,0)</f>
        <v>69.440666666666672</v>
      </c>
    </row>
    <row r="118" spans="1:5" x14ac:dyDescent="0.2">
      <c r="A118">
        <v>23.49089103140577</v>
      </c>
      <c r="B118">
        <f>VLOOKUP([1]!表1[[#This Row],[room_temperature+]],[1]Sheet1!$A$1:$E$295,2,0)</f>
        <v>-7.5695259829216682E-2</v>
      </c>
      <c r="C118">
        <f>VLOOKUP([1]!表1[[#This Row],[room_temperature+]],[1]Sheet1!$A$1:$E$295,3,0)</f>
        <v>-7.176780259033938E-2</v>
      </c>
      <c r="D118">
        <f>VLOOKUP([1]!表1[[#This Row],[room_temperature+]],[1]Sheet1!$A$1:$E$295,4,0)</f>
        <v>-3.9274572388773021E-3</v>
      </c>
      <c r="E118">
        <f>VLOOKUP([1]!表1[[#This Row],[room_temperature+]],[1]Sheet1!$A$1:$E$295,5,0)</f>
        <v>291.00000000000011</v>
      </c>
    </row>
    <row r="119" spans="1:5" x14ac:dyDescent="0.2">
      <c r="A119">
        <v>23.503018513465939</v>
      </c>
      <c r="B119">
        <f>VLOOKUP([1]!表1[[#This Row],[room_temperature+]],[1]Sheet1!$A$1:$E$295,2,0)</f>
        <v>-8.6744789043456366E-2</v>
      </c>
      <c r="C119">
        <f>VLOOKUP([1]!表1[[#This Row],[room_temperature+]],[1]Sheet1!$A$1:$E$295,3,0)</f>
        <v>-8.3472084970291197E-2</v>
      </c>
      <c r="D119">
        <f>VLOOKUP([1]!表1[[#This Row],[room_temperature+]],[1]Sheet1!$A$1:$E$295,4,0)</f>
        <v>-3.2727040731651701E-3</v>
      </c>
      <c r="E119">
        <f>VLOOKUP([1]!表1[[#This Row],[room_temperature+]],[1]Sheet1!$A$1:$E$295,5,0)</f>
        <v>107.1786666666667</v>
      </c>
    </row>
    <row r="120" spans="1:5" x14ac:dyDescent="0.2">
      <c r="A120">
        <v>23.50307930321987</v>
      </c>
      <c r="B120">
        <f>VLOOKUP([1]!表1[[#This Row],[room_temperature+]],[1]Sheet1!$A$1:$E$295,2,0)</f>
        <v>-7.7661579354799865E-2</v>
      </c>
      <c r="C120">
        <f>VLOOKUP([1]!表1[[#This Row],[room_temperature+]],[1]Sheet1!$A$1:$E$295,3,0)</f>
        <v>-7.2853560813802745E-2</v>
      </c>
      <c r="D120">
        <f>VLOOKUP([1]!表1[[#This Row],[room_temperature+]],[1]Sheet1!$A$1:$E$295,4,0)</f>
        <v>-4.8080185409971193E-3</v>
      </c>
      <c r="E120">
        <f>VLOOKUP([1]!表1[[#This Row],[room_temperature+]],[1]Sheet1!$A$1:$E$295,5,0)</f>
        <v>576.76999999999987</v>
      </c>
    </row>
    <row r="121" spans="1:5" x14ac:dyDescent="0.2">
      <c r="A121">
        <v>23.50345447763527</v>
      </c>
      <c r="B121">
        <f>VLOOKUP([1]!表1[[#This Row],[room_temperature+]],[1]Sheet1!$A$1:$E$295,2,0)</f>
        <v>-8.0602670524491771E-2</v>
      </c>
      <c r="C121">
        <f>VLOOKUP([1]!表1[[#This Row],[room_temperature+]],[1]Sheet1!$A$1:$E$295,3,0)</f>
        <v>-7.5115181980539431E-2</v>
      </c>
      <c r="D121">
        <f>VLOOKUP([1]!表1[[#This Row],[room_temperature+]],[1]Sheet1!$A$1:$E$295,4,0)</f>
        <v>-5.4874885439523402E-3</v>
      </c>
      <c r="E121">
        <f>VLOOKUP([1]!表1[[#This Row],[room_temperature+]],[1]Sheet1!$A$1:$E$295,5,0)</f>
        <v>581.0486666666668</v>
      </c>
    </row>
    <row r="122" spans="1:5" x14ac:dyDescent="0.2">
      <c r="A122">
        <v>23.50706122139907</v>
      </c>
      <c r="B122">
        <f>VLOOKUP([1]!表1[[#This Row],[room_temperature+]],[1]Sheet1!$A$1:$E$295,2,0)</f>
        <v>-8.060060073177229E-2</v>
      </c>
      <c r="C122">
        <f>VLOOKUP([1]!表1[[#This Row],[room_temperature+]],[1]Sheet1!$A$1:$E$295,3,0)</f>
        <v>-7.7422622550433029E-2</v>
      </c>
      <c r="D122">
        <f>VLOOKUP([1]!表1[[#This Row],[room_temperature+]],[1]Sheet1!$A$1:$E$295,4,0)</f>
        <v>-3.177978181339261E-3</v>
      </c>
      <c r="E122">
        <f>VLOOKUP([1]!表1[[#This Row],[room_temperature+]],[1]Sheet1!$A$1:$E$295,5,0)</f>
        <v>671.5999999999998</v>
      </c>
    </row>
    <row r="123" spans="1:5" x14ac:dyDescent="0.2">
      <c r="A123">
        <v>23.509485657870119</v>
      </c>
      <c r="B123">
        <f>VLOOKUP([1]!表1[[#This Row],[room_temperature+]],[1]Sheet1!$A$1:$E$295,2,0)</f>
        <v>-8.1085452133457331E-2</v>
      </c>
      <c r="C123">
        <f>VLOOKUP([1]!表1[[#This Row],[room_temperature+]],[1]Sheet1!$A$1:$E$295,3,0)</f>
        <v>-7.7676172295791518E-2</v>
      </c>
      <c r="D123">
        <f>VLOOKUP([1]!表1[[#This Row],[room_temperature+]],[1]Sheet1!$A$1:$E$295,4,0)</f>
        <v>-3.4092798376658129E-3</v>
      </c>
      <c r="E123">
        <f>VLOOKUP([1]!表1[[#This Row],[room_temperature+]],[1]Sheet1!$A$1:$E$295,5,0)</f>
        <v>765.1513333333337</v>
      </c>
    </row>
    <row r="124" spans="1:5" x14ac:dyDescent="0.2">
      <c r="A124">
        <v>23.51209492303045</v>
      </c>
      <c r="B124">
        <f>VLOOKUP([1]!表1[[#This Row],[room_temperature+]],[1]Sheet1!$A$1:$E$295,2,0)</f>
        <v>-8.7028423853877296E-2</v>
      </c>
      <c r="C124">
        <f>VLOOKUP([1]!表1[[#This Row],[room_temperature+]],[1]Sheet1!$A$1:$E$295,3,0)</f>
        <v>-8.1887094392474727E-2</v>
      </c>
      <c r="D124">
        <f>VLOOKUP([1]!表1[[#This Row],[room_temperature+]],[1]Sheet1!$A$1:$E$295,4,0)</f>
        <v>-5.141329461402569E-3</v>
      </c>
      <c r="E124">
        <f>VLOOKUP([1]!表1[[#This Row],[room_temperature+]],[1]Sheet1!$A$1:$E$295,5,0)</f>
        <v>67.14733333333335</v>
      </c>
    </row>
    <row r="125" spans="1:5" x14ac:dyDescent="0.2">
      <c r="A125">
        <v>23.702430079036631</v>
      </c>
      <c r="B125">
        <f>VLOOKUP([1]!表1[[#This Row],[room_temperature+]],[1]Sheet1!$A$1:$E$295,2,0)</f>
        <v>-7.4685258677826022E-2</v>
      </c>
      <c r="C125">
        <f>VLOOKUP([1]!表1[[#This Row],[room_temperature+]],[1]Sheet1!$A$1:$E$295,3,0)</f>
        <v>-7.11638493798218E-2</v>
      </c>
      <c r="D125">
        <f>VLOOKUP([1]!表1[[#This Row],[room_temperature+]],[1]Sheet1!$A$1:$E$295,4,0)</f>
        <v>-3.5214092980042221E-3</v>
      </c>
      <c r="E125">
        <f>VLOOKUP([1]!表1[[#This Row],[room_temperature+]],[1]Sheet1!$A$1:$E$295,5,0)</f>
        <v>8.390666666666668</v>
      </c>
    </row>
    <row r="126" spans="1:5" x14ac:dyDescent="0.2">
      <c r="A126">
        <v>23.706587613112649</v>
      </c>
      <c r="B126">
        <f>VLOOKUP([1]!表1[[#This Row],[room_temperature+]],[1]Sheet1!$A$1:$E$295,2,0)</f>
        <v>-7.0162017694754691E-2</v>
      </c>
      <c r="C126">
        <f>VLOOKUP([1]!表1[[#This Row],[room_temperature+]],[1]Sheet1!$A$1:$E$295,3,0)</f>
        <v>-6.7625651476884971E-2</v>
      </c>
      <c r="D126">
        <f>VLOOKUP([1]!表1[[#This Row],[room_temperature+]],[1]Sheet1!$A$1:$E$295,4,0)</f>
        <v>-2.5363662178697201E-3</v>
      </c>
      <c r="E126">
        <f>VLOOKUP([1]!表1[[#This Row],[room_temperature+]],[1]Sheet1!$A$1:$E$295,5,0)</f>
        <v>499.12800000000033</v>
      </c>
    </row>
    <row r="127" spans="1:5" x14ac:dyDescent="0.2">
      <c r="A127">
        <v>23.706690857796691</v>
      </c>
      <c r="B127">
        <f>VLOOKUP([1]!表1[[#This Row],[room_temperature+]],[1]Sheet1!$A$1:$E$295,2,0)</f>
        <v>-7.0291677590752874E-2</v>
      </c>
      <c r="C127">
        <f>VLOOKUP([1]!表1[[#This Row],[room_temperature+]],[1]Sheet1!$A$1:$E$295,3,0)</f>
        <v>-6.7887469194469183E-2</v>
      </c>
      <c r="D127">
        <f>VLOOKUP([1]!表1[[#This Row],[room_temperature+]],[1]Sheet1!$A$1:$E$295,4,0)</f>
        <v>-2.4042083962836909E-3</v>
      </c>
      <c r="E127">
        <f>VLOOKUP([1]!表1[[#This Row],[room_temperature+]],[1]Sheet1!$A$1:$E$295,5,0)</f>
        <v>497.02800000000002</v>
      </c>
    </row>
    <row r="128" spans="1:5" x14ac:dyDescent="0.2">
      <c r="A128">
        <v>23.709054410110351</v>
      </c>
      <c r="B128">
        <f>VLOOKUP([1]!表1[[#This Row],[room_temperature+]],[1]Sheet1!$A$1:$E$295,2,0)</f>
        <v>-7.2934427048037681E-2</v>
      </c>
      <c r="C128">
        <f>VLOOKUP([1]!表1[[#This Row],[room_temperature+]],[1]Sheet1!$A$1:$E$295,3,0)</f>
        <v>-7.0512826251734911E-2</v>
      </c>
      <c r="D128">
        <f>VLOOKUP([1]!表1[[#This Row],[room_temperature+]],[1]Sheet1!$A$1:$E$295,4,0)</f>
        <v>-2.4216007963027701E-3</v>
      </c>
      <c r="E128">
        <f>VLOOKUP([1]!表1[[#This Row],[room_temperature+]],[1]Sheet1!$A$1:$E$295,5,0)</f>
        <v>501.08266666666651</v>
      </c>
    </row>
    <row r="129" spans="1:5" x14ac:dyDescent="0.2">
      <c r="A129">
        <v>23.70923146282453</v>
      </c>
      <c r="B129">
        <f>VLOOKUP([1]!表1[[#This Row],[room_temperature+]],[1]Sheet1!$A$1:$E$295,2,0)</f>
        <v>-7.1955821037747447E-2</v>
      </c>
      <c r="C129">
        <f>VLOOKUP([1]!表1[[#This Row],[room_temperature+]],[1]Sheet1!$A$1:$E$295,3,0)</f>
        <v>-6.9741077496160306E-2</v>
      </c>
      <c r="D129">
        <f>VLOOKUP([1]!表1[[#This Row],[room_temperature+]],[1]Sheet1!$A$1:$E$295,4,0)</f>
        <v>-2.2147435415871409E-3</v>
      </c>
      <c r="E129">
        <f>VLOOKUP([1]!表1[[#This Row],[room_temperature+]],[1]Sheet1!$A$1:$E$295,5,0)</f>
        <v>671.30799999999965</v>
      </c>
    </row>
    <row r="130" spans="1:5" x14ac:dyDescent="0.2">
      <c r="A130">
        <v>23.709486575152049</v>
      </c>
      <c r="B130">
        <f>VLOOKUP([1]!表1[[#This Row],[room_temperature+]],[1]Sheet1!$A$1:$E$295,2,0)</f>
        <v>-7.210814051602879E-2</v>
      </c>
      <c r="C130">
        <f>VLOOKUP([1]!表1[[#This Row],[room_temperature+]],[1]Sheet1!$A$1:$E$295,3,0)</f>
        <v>-6.9591479323326669E-2</v>
      </c>
      <c r="D130">
        <f>VLOOKUP([1]!表1[[#This Row],[room_temperature+]],[1]Sheet1!$A$1:$E$295,4,0)</f>
        <v>-2.516661192702122E-3</v>
      </c>
      <c r="E130">
        <f>VLOOKUP([1]!表1[[#This Row],[room_temperature+]],[1]Sheet1!$A$1:$E$295,5,0)</f>
        <v>497.78399999999982</v>
      </c>
    </row>
    <row r="131" spans="1:5" x14ac:dyDescent="0.2">
      <c r="A131">
        <v>23.798877180506889</v>
      </c>
      <c r="B131">
        <f>VLOOKUP([1]!表1[[#This Row],[room_temperature+]],[1]Sheet1!$A$1:$E$295,2,0)</f>
        <v>-6.4344608828017721E-2</v>
      </c>
      <c r="C131">
        <f>VLOOKUP([1]!表1[[#This Row],[room_temperature+]],[1]Sheet1!$A$1:$E$295,3,0)</f>
        <v>-6.4999802889233682E-2</v>
      </c>
      <c r="D131">
        <f>VLOOKUP([1]!表1[[#This Row],[room_temperature+]],[1]Sheet1!$A$1:$E$295,4,0)</f>
        <v>6.5519406121596069E-4</v>
      </c>
      <c r="E131">
        <f>VLOOKUP([1]!表1[[#This Row],[room_temperature+]],[1]Sheet1!$A$1:$E$295,5,0)</f>
        <v>973.5</v>
      </c>
    </row>
    <row r="132" spans="1:5" x14ac:dyDescent="0.2">
      <c r="A132">
        <v>23.800087119485529</v>
      </c>
      <c r="B132">
        <f>VLOOKUP([1]!表1[[#This Row],[room_temperature+]],[1]Sheet1!$A$1:$E$295,2,0)</f>
        <v>-7.2403187460658061E-2</v>
      </c>
      <c r="C132">
        <f>VLOOKUP([1]!表1[[#This Row],[room_temperature+]],[1]Sheet1!$A$1:$E$295,3,0)</f>
        <v>-6.796221354477365E-2</v>
      </c>
      <c r="D132">
        <f>VLOOKUP([1]!表1[[#This Row],[room_temperature+]],[1]Sheet1!$A$1:$E$295,4,0)</f>
        <v>-4.4409739158844108E-3</v>
      </c>
      <c r="E132">
        <f>VLOOKUP([1]!表1[[#This Row],[room_temperature+]],[1]Sheet1!$A$1:$E$295,5,0)</f>
        <v>494.1720000000002</v>
      </c>
    </row>
    <row r="133" spans="1:5" x14ac:dyDescent="0.2">
      <c r="A133">
        <v>23.801120789498039</v>
      </c>
      <c r="B133">
        <f>VLOOKUP([1]!表1[[#This Row],[room_temperature+]],[1]Sheet1!$A$1:$E$295,2,0)</f>
        <v>-6.842961139459422E-2</v>
      </c>
      <c r="C133">
        <f>VLOOKUP([1]!表1[[#This Row],[room_temperature+]],[1]Sheet1!$A$1:$E$295,3,0)</f>
        <v>-6.4890130440921442E-2</v>
      </c>
      <c r="D133">
        <f>VLOOKUP([1]!表1[[#This Row],[room_temperature+]],[1]Sheet1!$A$1:$E$295,4,0)</f>
        <v>-3.5394809536727768E-3</v>
      </c>
      <c r="E133">
        <f>VLOOKUP([1]!表1[[#This Row],[room_temperature+]],[1]Sheet1!$A$1:$E$295,5,0)</f>
        <v>585.74600000000032</v>
      </c>
    </row>
    <row r="134" spans="1:5" x14ac:dyDescent="0.2">
      <c r="A134">
        <v>23.807048877426091</v>
      </c>
      <c r="B134">
        <f>VLOOKUP([1]!表1[[#This Row],[room_temperature+]],[1]Sheet1!$A$1:$E$295,2,0)</f>
        <v>-6.7999981007927118E-2</v>
      </c>
      <c r="C134">
        <f>VLOOKUP([1]!表1[[#This Row],[room_temperature+]],[1]Sheet1!$A$1:$E$295,3,0)</f>
        <v>-6.2605384970357059E-2</v>
      </c>
      <c r="D134">
        <f>VLOOKUP([1]!表1[[#This Row],[room_temperature+]],[1]Sheet1!$A$1:$E$295,4,0)</f>
        <v>-5.3945960375700597E-3</v>
      </c>
      <c r="E134">
        <f>VLOOKUP([1]!表1[[#This Row],[room_temperature+]],[1]Sheet1!$A$1:$E$295,5,0)</f>
        <v>44.343999999999987</v>
      </c>
    </row>
    <row r="135" spans="1:5" x14ac:dyDescent="0.2">
      <c r="A135">
        <v>23.816502609003951</v>
      </c>
      <c r="B135">
        <f>VLOOKUP([1]!表1[[#This Row],[room_temperature+]],[1]Sheet1!$A$1:$E$295,2,0)</f>
        <v>-7.3520508051366923E-2</v>
      </c>
      <c r="C135">
        <f>VLOOKUP([1]!表1[[#This Row],[room_temperature+]],[1]Sheet1!$A$1:$E$295,3,0)</f>
        <v>-7.1886960063033356E-2</v>
      </c>
      <c r="D135">
        <f>VLOOKUP([1]!表1[[#This Row],[room_temperature+]],[1]Sheet1!$A$1:$E$295,4,0)</f>
        <v>-1.6335479883335671E-3</v>
      </c>
      <c r="E135">
        <f>VLOOKUP([1]!表1[[#This Row],[room_temperature+]],[1]Sheet1!$A$1:$E$295,5,0)</f>
        <v>295.69399999999979</v>
      </c>
    </row>
    <row r="136" spans="1:5" x14ac:dyDescent="0.2">
      <c r="A136">
        <v>23.816515294031181</v>
      </c>
      <c r="B136">
        <f>VLOOKUP([1]!表1[[#This Row],[room_temperature+]],[1]Sheet1!$A$1:$E$295,2,0)</f>
        <v>-6.7141907962876335E-2</v>
      </c>
      <c r="C136">
        <f>VLOOKUP([1]!表1[[#This Row],[room_temperature+]],[1]Sheet1!$A$1:$E$295,3,0)</f>
        <v>-6.4073795275478851E-2</v>
      </c>
      <c r="D136">
        <f>VLOOKUP([1]!表1[[#This Row],[room_temperature+]],[1]Sheet1!$A$1:$E$295,4,0)</f>
        <v>-3.068112687397484E-3</v>
      </c>
      <c r="E136">
        <f>VLOOKUP([1]!表1[[#This Row],[room_temperature+]],[1]Sheet1!$A$1:$E$295,5,0)</f>
        <v>300.37666666666678</v>
      </c>
    </row>
    <row r="137" spans="1:5" x14ac:dyDescent="0.2">
      <c r="A137">
        <v>23.817923683272991</v>
      </c>
      <c r="B137">
        <f>VLOOKUP([1]!表1[[#This Row],[room_temperature+]],[1]Sheet1!$A$1:$E$295,2,0)</f>
        <v>-6.4888754884616831E-2</v>
      </c>
      <c r="C137">
        <f>VLOOKUP([1]!表1[[#This Row],[room_temperature+]],[1]Sheet1!$A$1:$E$295,3,0)</f>
        <v>-6.143568865471323E-2</v>
      </c>
      <c r="D137">
        <f>VLOOKUP([1]!表1[[#This Row],[room_temperature+]],[1]Sheet1!$A$1:$E$295,4,0)</f>
        <v>-3.4530662299036008E-3</v>
      </c>
      <c r="E137">
        <f>VLOOKUP([1]!表1[[#This Row],[room_temperature+]],[1]Sheet1!$A$1:$E$295,5,0)</f>
        <v>296.28533333333331</v>
      </c>
    </row>
    <row r="138" spans="1:5" x14ac:dyDescent="0.2">
      <c r="A138">
        <v>23.89290569814624</v>
      </c>
      <c r="B138">
        <f>VLOOKUP([1]!表1[[#This Row],[room_temperature+]],[1]Sheet1!$A$1:$E$295,2,0)</f>
        <v>-6.1418918579687613E-2</v>
      </c>
      <c r="C138">
        <f>VLOOKUP([1]!表1[[#This Row],[room_temperature+]],[1]Sheet1!$A$1:$E$295,3,0)</f>
        <v>-6.1679133239509937E-2</v>
      </c>
      <c r="D138">
        <f>VLOOKUP([1]!表1[[#This Row],[room_temperature+]],[1]Sheet1!$A$1:$E$295,4,0)</f>
        <v>2.6021465982232339E-4</v>
      </c>
      <c r="E138">
        <f>VLOOKUP([1]!表1[[#This Row],[room_temperature+]],[1]Sheet1!$A$1:$E$295,5,0)</f>
        <v>762.47266666666701</v>
      </c>
    </row>
    <row r="139" spans="1:5" x14ac:dyDescent="0.2">
      <c r="A139">
        <v>23.90260720157195</v>
      </c>
      <c r="B139">
        <f>VLOOKUP([1]!表1[[#This Row],[room_temperature+]],[1]Sheet1!$A$1:$E$295,2,0)</f>
        <v>-6.642074610333891E-2</v>
      </c>
      <c r="C139">
        <f>VLOOKUP([1]!表1[[#This Row],[room_temperature+]],[1]Sheet1!$A$1:$E$295,3,0)</f>
        <v>-6.5490668027878979E-2</v>
      </c>
      <c r="D139">
        <f>VLOOKUP([1]!表1[[#This Row],[room_temperature+]],[1]Sheet1!$A$1:$E$295,4,0)</f>
        <v>-9.3007807545993082E-4</v>
      </c>
      <c r="E139">
        <f>VLOOKUP([1]!表1[[#This Row],[room_temperature+]],[1]Sheet1!$A$1:$E$295,5,0)</f>
        <v>764.40000000000032</v>
      </c>
    </row>
    <row r="140" spans="1:5" x14ac:dyDescent="0.2">
      <c r="A140">
        <v>23.907380442596221</v>
      </c>
      <c r="B140">
        <f>VLOOKUP([1]!表1[[#This Row],[room_temperature+]],[1]Sheet1!$A$1:$E$295,2,0)</f>
        <v>-7.3491895241998229E-2</v>
      </c>
      <c r="C140">
        <f>VLOOKUP([1]!表1[[#This Row],[room_temperature+]],[1]Sheet1!$A$1:$E$295,3,0)</f>
        <v>-6.7600742711268327E-2</v>
      </c>
      <c r="D140">
        <f>VLOOKUP([1]!表1[[#This Row],[room_temperature+]],[1]Sheet1!$A$1:$E$295,4,0)</f>
        <v>-5.8911525307299012E-3</v>
      </c>
      <c r="E140">
        <f>VLOOKUP([1]!表1[[#This Row],[room_temperature+]],[1]Sheet1!$A$1:$E$295,5,0)</f>
        <v>8.5566666666666684</v>
      </c>
    </row>
    <row r="141" spans="1:5" x14ac:dyDescent="0.2">
      <c r="A141">
        <v>23.910167180845189</v>
      </c>
      <c r="B141">
        <f>VLOOKUP([1]!表1[[#This Row],[room_temperature+]],[1]Sheet1!$A$1:$E$295,2,0)</f>
        <v>-7.0848505417390489E-2</v>
      </c>
      <c r="C141">
        <f>VLOOKUP([1]!表1[[#This Row],[room_temperature+]],[1]Sheet1!$A$1:$E$295,3,0)</f>
        <v>-6.7363545542843906E-2</v>
      </c>
      <c r="D141">
        <f>VLOOKUP([1]!表1[[#This Row],[room_temperature+]],[1]Sheet1!$A$1:$E$295,4,0)</f>
        <v>-3.4849598745465842E-3</v>
      </c>
      <c r="E141">
        <f>VLOOKUP([1]!表1[[#This Row],[room_temperature+]],[1]Sheet1!$A$1:$E$295,5,0)</f>
        <v>583.99866666666696</v>
      </c>
    </row>
    <row r="142" spans="1:5" x14ac:dyDescent="0.2">
      <c r="A142">
        <v>23.97953079727451</v>
      </c>
      <c r="B142">
        <f>VLOOKUP([1]!表1[[#This Row],[room_temperature+]],[1]Sheet1!$A$1:$E$295,2,0)</f>
        <v>-6.1258560942213137E-2</v>
      </c>
      <c r="C142">
        <f>VLOOKUP([1]!表1[[#This Row],[room_temperature+]],[1]Sheet1!$A$1:$E$295,3,0)</f>
        <v>-5.973324283670256E-2</v>
      </c>
      <c r="D142">
        <f>VLOOKUP([1]!表1[[#This Row],[room_temperature+]],[1]Sheet1!$A$1:$E$295,4,0)</f>
        <v>-1.525318105510577E-3</v>
      </c>
      <c r="E142">
        <f>VLOOKUP([1]!表1[[#This Row],[room_temperature+]],[1]Sheet1!$A$1:$E$295,5,0)</f>
        <v>420.52799999999962</v>
      </c>
    </row>
    <row r="143" spans="1:5" x14ac:dyDescent="0.2">
      <c r="A143">
        <v>24.01307145572099</v>
      </c>
      <c r="B143">
        <f>VLOOKUP([1]!表1[[#This Row],[room_temperature+]],[1]Sheet1!$A$1:$E$295,2,0)</f>
        <v>-6.8100710576050313E-2</v>
      </c>
      <c r="C143">
        <f>VLOOKUP([1]!表1[[#This Row],[room_temperature+]],[1]Sheet1!$A$1:$E$295,3,0)</f>
        <v>-6.4418999419547915E-2</v>
      </c>
      <c r="D143">
        <f>VLOOKUP([1]!表1[[#This Row],[room_temperature+]],[1]Sheet1!$A$1:$E$295,4,0)</f>
        <v>-3.681711156502399E-3</v>
      </c>
      <c r="E143">
        <f>VLOOKUP([1]!表1[[#This Row],[room_temperature+]],[1]Sheet1!$A$1:$E$295,5,0)</f>
        <v>671.5999999999998</v>
      </c>
    </row>
    <row r="144" spans="1:5" x14ac:dyDescent="0.2">
      <c r="A144">
        <v>24.30580732178564</v>
      </c>
      <c r="B144">
        <f>VLOOKUP([1]!表1[[#This Row],[room_temperature+]],[1]Sheet1!$A$1:$E$295,2,0)</f>
        <v>-5.5373017064736227E-2</v>
      </c>
      <c r="C144">
        <f>VLOOKUP([1]!表1[[#This Row],[room_temperature+]],[1]Sheet1!$A$1:$E$295,3,0)</f>
        <v>-5.5432199545800129E-2</v>
      </c>
      <c r="D144">
        <f>VLOOKUP([1]!表1[[#This Row],[room_temperature+]],[1]Sheet1!$A$1:$E$295,4,0)</f>
        <v>5.9182481063901893E-5</v>
      </c>
      <c r="E144">
        <f>VLOOKUP([1]!表1[[#This Row],[room_temperature+]],[1]Sheet1!$A$1:$E$295,5,0)</f>
        <v>969.21000000000026</v>
      </c>
    </row>
    <row r="145" spans="1:5" x14ac:dyDescent="0.2">
      <c r="A145">
        <v>24.308024157192971</v>
      </c>
      <c r="B145">
        <f>VLOOKUP([1]!表1[[#This Row],[room_temperature+]],[1]Sheet1!$A$1:$E$295,2,0)</f>
        <v>-5.4522683454556707E-2</v>
      </c>
      <c r="C145">
        <f>VLOOKUP([1]!表1[[#This Row],[room_temperature+]],[1]Sheet1!$A$1:$E$295,3,0)</f>
        <v>-5.4757682366590482E-2</v>
      </c>
      <c r="D145">
        <f>VLOOKUP([1]!表1[[#This Row],[room_temperature+]],[1]Sheet1!$A$1:$E$295,4,0)</f>
        <v>2.3499891203377499E-4</v>
      </c>
      <c r="E145">
        <f>VLOOKUP([1]!表1[[#This Row],[room_temperature+]],[1]Sheet1!$A$1:$E$295,5,0)</f>
        <v>971.67466666666701</v>
      </c>
    </row>
    <row r="146" spans="1:5" x14ac:dyDescent="0.2">
      <c r="A146">
        <v>24.308561580649421</v>
      </c>
      <c r="B146">
        <f>VLOOKUP([1]!表1[[#This Row],[room_temperature+]],[1]Sheet1!$A$1:$E$295,2,0)</f>
        <v>-5.4934117226431878E-2</v>
      </c>
      <c r="C146">
        <f>VLOOKUP([1]!表1[[#This Row],[room_temperature+]],[1]Sheet1!$A$1:$E$295,3,0)</f>
        <v>-5.4900443690697902E-2</v>
      </c>
      <c r="D146">
        <f>VLOOKUP([1]!表1[[#This Row],[room_temperature+]],[1]Sheet1!$A$1:$E$295,4,0)</f>
        <v>-3.3673535733975968E-5</v>
      </c>
      <c r="E146">
        <f>VLOOKUP([1]!表1[[#This Row],[room_temperature+]],[1]Sheet1!$A$1:$E$295,5,0)</f>
        <v>969.10000000000025</v>
      </c>
    </row>
    <row r="147" spans="1:5" x14ac:dyDescent="0.2">
      <c r="A147">
        <v>24.50683709477898</v>
      </c>
      <c r="B147">
        <f>VLOOKUP([1]!表1[[#This Row],[room_temperature+]],[1]Sheet1!$A$1:$E$295,2,0)</f>
        <v>-4.5807494636474398E-2</v>
      </c>
      <c r="C147">
        <f>VLOOKUP([1]!表1[[#This Row],[room_temperature+]],[1]Sheet1!$A$1:$E$295,3,0)</f>
        <v>-4.5625432728102912E-2</v>
      </c>
      <c r="D147">
        <f>VLOOKUP([1]!表1[[#This Row],[room_temperature+]],[1]Sheet1!$A$1:$E$295,4,0)</f>
        <v>-1.8206190837148639E-4</v>
      </c>
      <c r="E147">
        <f>VLOOKUP([1]!表1[[#This Row],[room_temperature+]],[1]Sheet1!$A$1:$E$295,5,0)</f>
        <v>417.94666666666637</v>
      </c>
    </row>
    <row r="148" spans="1:5" x14ac:dyDescent="0.2">
      <c r="A148">
        <v>24.507592166395991</v>
      </c>
      <c r="B148">
        <f>VLOOKUP([1]!表1[[#This Row],[room_temperature+]],[1]Sheet1!$A$1:$E$295,2,0)</f>
        <v>-4.7319245172659542E-2</v>
      </c>
      <c r="C148">
        <f>VLOOKUP([1]!表1[[#This Row],[room_temperature+]],[1]Sheet1!$A$1:$E$295,3,0)</f>
        <v>-4.7248543267624288E-2</v>
      </c>
      <c r="D148">
        <f>VLOOKUP([1]!表1[[#This Row],[room_temperature+]],[1]Sheet1!$A$1:$E$295,4,0)</f>
        <v>-7.0701905035254475E-5</v>
      </c>
      <c r="E148">
        <f>VLOOKUP([1]!表1[[#This Row],[room_temperature+]],[1]Sheet1!$A$1:$E$295,5,0)</f>
        <v>419.68799999999982</v>
      </c>
    </row>
    <row r="149" spans="1:5" x14ac:dyDescent="0.2">
      <c r="A149">
        <v>24.508163099487358</v>
      </c>
      <c r="B149">
        <f>VLOOKUP([1]!表1[[#This Row],[room_temperature+]],[1]Sheet1!$A$1:$E$295,2,0)</f>
        <v>-5.0598379066892317E-2</v>
      </c>
      <c r="C149">
        <f>VLOOKUP([1]!表1[[#This Row],[room_temperature+]],[1]Sheet1!$A$1:$E$295,3,0)</f>
        <v>-5.0495041794074207E-2</v>
      </c>
      <c r="D149">
        <f>VLOOKUP([1]!表1[[#This Row],[room_temperature+]],[1]Sheet1!$A$1:$E$295,4,0)</f>
        <v>-1.033372728181103E-4</v>
      </c>
      <c r="E149">
        <f>VLOOKUP([1]!表1[[#This Row],[room_temperature+]],[1]Sheet1!$A$1:$E$295,5,0)</f>
        <v>417.85066666666671</v>
      </c>
    </row>
    <row r="150" spans="1:5" x14ac:dyDescent="0.2">
      <c r="A150">
        <v>24.603578483711988</v>
      </c>
      <c r="B150">
        <f>VLOOKUP([1]!表1[[#This Row],[room_temperature+]],[1]Sheet1!$A$1:$E$295,2,0)</f>
        <v>-4.7945083804547033E-2</v>
      </c>
      <c r="C150">
        <f>VLOOKUP([1]!表1[[#This Row],[room_temperature+]],[1]Sheet1!$A$1:$E$295,3,0)</f>
        <v>-4.7375271053594951E-2</v>
      </c>
      <c r="D150">
        <f>VLOOKUP([1]!表1[[#This Row],[room_temperature+]],[1]Sheet1!$A$1:$E$295,4,0)</f>
        <v>-5.6981275095208117E-4</v>
      </c>
      <c r="E150">
        <f>VLOOKUP([1]!表1[[#This Row],[room_temperature+]],[1]Sheet1!$A$1:$E$295,5,0)</f>
        <v>349.80000000000018</v>
      </c>
    </row>
    <row r="151" spans="1:5" x14ac:dyDescent="0.2">
      <c r="A151">
        <v>24.604874310533649</v>
      </c>
      <c r="B151">
        <f>VLOOKUP([1]!表1[[#This Row],[room_temperature+]],[1]Sheet1!$A$1:$E$295,2,0)</f>
        <v>-4.7132507248496519E-2</v>
      </c>
      <c r="C151">
        <f>VLOOKUP([1]!表1[[#This Row],[room_temperature+]],[1]Sheet1!$A$1:$E$295,3,0)</f>
        <v>-4.6465648185882502E-2</v>
      </c>
      <c r="D151">
        <f>VLOOKUP([1]!表1[[#This Row],[room_temperature+]],[1]Sheet1!$A$1:$E$295,4,0)</f>
        <v>-6.6685906261401695E-4</v>
      </c>
      <c r="E151">
        <f>VLOOKUP([1]!表1[[#This Row],[room_temperature+]],[1]Sheet1!$A$1:$E$295,5,0)</f>
        <v>349.80000000000018</v>
      </c>
    </row>
    <row r="152" spans="1:5" x14ac:dyDescent="0.2">
      <c r="A152">
        <v>24.69007769098361</v>
      </c>
      <c r="B152">
        <f>VLOOKUP([1]!表1[[#This Row],[room_temperature+]],[1]Sheet1!$A$1:$E$295,2,0)</f>
        <v>-3.8304152821290939E-2</v>
      </c>
      <c r="C152">
        <f>VLOOKUP([1]!表1[[#This Row],[room_temperature+]],[1]Sheet1!$A$1:$E$295,3,0)</f>
        <v>-3.9931218282369833E-2</v>
      </c>
      <c r="D152">
        <f>VLOOKUP([1]!表1[[#This Row],[room_temperature+]],[1]Sheet1!$A$1:$E$295,4,0)</f>
        <v>1.6270654610788941E-3</v>
      </c>
      <c r="E152">
        <f>VLOOKUP([1]!表1[[#This Row],[room_temperature+]],[1]Sheet1!$A$1:$E$295,5,0)</f>
        <v>657.91733333333298</v>
      </c>
    </row>
    <row r="153" spans="1:5" x14ac:dyDescent="0.2">
      <c r="A153">
        <v>24.69260388337149</v>
      </c>
      <c r="B153">
        <f>VLOOKUP([1]!表1[[#This Row],[room_temperature+]],[1]Sheet1!$A$1:$E$295,2,0)</f>
        <v>-3.972812754182764E-2</v>
      </c>
      <c r="C153">
        <f>VLOOKUP([1]!表1[[#This Row],[room_temperature+]],[1]Sheet1!$A$1:$E$295,3,0)</f>
        <v>-4.062427381734654E-2</v>
      </c>
      <c r="D153">
        <f>VLOOKUP([1]!表1[[#This Row],[room_temperature+]],[1]Sheet1!$A$1:$E$295,4,0)</f>
        <v>8.961462755188998E-4</v>
      </c>
      <c r="E153">
        <f>VLOOKUP([1]!表1[[#This Row],[room_temperature+]],[1]Sheet1!$A$1:$E$295,5,0)</f>
        <v>491.08800000000042</v>
      </c>
    </row>
    <row r="154" spans="1:5" x14ac:dyDescent="0.2">
      <c r="A154">
        <v>24.70049166871555</v>
      </c>
      <c r="B154">
        <f>VLOOKUP([1]!表1[[#This Row],[room_temperature+]],[1]Sheet1!$A$1:$E$295,2,0)</f>
        <v>-3.6894844294403643E-2</v>
      </c>
      <c r="C154">
        <f>VLOOKUP([1]!表1[[#This Row],[room_temperature+]],[1]Sheet1!$A$1:$E$295,3,0)</f>
        <v>-3.4336303528262613E-2</v>
      </c>
      <c r="D154">
        <f>VLOOKUP([1]!表1[[#This Row],[room_temperature+]],[1]Sheet1!$A$1:$E$295,4,0)</f>
        <v>-2.558540766141031E-3</v>
      </c>
      <c r="E154">
        <f>VLOOKUP([1]!表1[[#This Row],[room_temperature+]],[1]Sheet1!$A$1:$E$295,5,0)</f>
        <v>3.1759999999999988</v>
      </c>
    </row>
    <row r="155" spans="1:5" x14ac:dyDescent="0.2">
      <c r="A155">
        <v>24.795403601766669</v>
      </c>
      <c r="B155">
        <f>VLOOKUP([1]!表1[[#This Row],[room_temperature+]],[1]Sheet1!$A$1:$E$295,2,0)</f>
        <v>-3.765916687732538E-2</v>
      </c>
      <c r="C155">
        <f>VLOOKUP([1]!表1[[#This Row],[room_temperature+]],[1]Sheet1!$A$1:$E$295,3,0)</f>
        <v>-3.5601679409684228E-2</v>
      </c>
      <c r="D155">
        <f>VLOOKUP([1]!表1[[#This Row],[room_temperature+]],[1]Sheet1!$A$1:$E$295,4,0)</f>
        <v>-2.0574874676411521E-3</v>
      </c>
      <c r="E155">
        <f>VLOOKUP([1]!表1[[#This Row],[room_temperature+]],[1]Sheet1!$A$1:$E$295,5,0)</f>
        <v>3.046666666666666</v>
      </c>
    </row>
    <row r="156" spans="1:5" x14ac:dyDescent="0.2">
      <c r="A156">
        <v>24.79567432366364</v>
      </c>
      <c r="B156">
        <f>VLOOKUP([1]!表1[[#This Row],[room_temperature+]],[1]Sheet1!$A$1:$E$295,2,0)</f>
        <v>-3.3834810747993542E-2</v>
      </c>
      <c r="C156">
        <f>VLOOKUP([1]!表1[[#This Row],[room_temperature+]],[1]Sheet1!$A$1:$E$295,3,0)</f>
        <v>-3.1835268315333447E-2</v>
      </c>
      <c r="D156">
        <f>VLOOKUP([1]!表1[[#This Row],[room_temperature+]],[1]Sheet1!$A$1:$E$295,4,0)</f>
        <v>-1.9995424326600948E-3</v>
      </c>
      <c r="E156">
        <f>VLOOKUP([1]!表1[[#This Row],[room_temperature+]],[1]Sheet1!$A$1:$E$295,5,0)</f>
        <v>3.0173333333333319</v>
      </c>
    </row>
    <row r="157" spans="1:5" x14ac:dyDescent="0.2">
      <c r="A157">
        <v>24.799683758555169</v>
      </c>
      <c r="B157">
        <f>VLOOKUP([1]!表1[[#This Row],[room_temperature+]],[1]Sheet1!$A$1:$E$295,2,0)</f>
        <v>-4.0863121365684957E-2</v>
      </c>
      <c r="C157">
        <f>VLOOKUP([1]!表1[[#This Row],[room_temperature+]],[1]Sheet1!$A$1:$E$295,3,0)</f>
        <v>-3.8331730835559401E-2</v>
      </c>
      <c r="D157">
        <f>VLOOKUP([1]!表1[[#This Row],[room_temperature+]],[1]Sheet1!$A$1:$E$295,4,0)</f>
        <v>-2.531390530125556E-3</v>
      </c>
      <c r="E157">
        <f>VLOOKUP([1]!表1[[#This Row],[room_temperature+]],[1]Sheet1!$A$1:$E$295,5,0)</f>
        <v>132.61600000000001</v>
      </c>
    </row>
    <row r="158" spans="1:5" x14ac:dyDescent="0.2">
      <c r="A158">
        <v>24.900160889737251</v>
      </c>
      <c r="B158">
        <f>VLOOKUP([1]!表1[[#This Row],[room_temperature+]],[1]Sheet1!$A$1:$E$295,2,0)</f>
        <v>-3.6384116281261557E-2</v>
      </c>
      <c r="C158">
        <f>VLOOKUP([1]!表1[[#This Row],[room_temperature+]],[1]Sheet1!$A$1:$E$295,3,0)</f>
        <v>-3.8917255419038219E-2</v>
      </c>
      <c r="D158">
        <f>VLOOKUP([1]!表1[[#This Row],[room_temperature+]],[1]Sheet1!$A$1:$E$295,4,0)</f>
        <v>2.5331391377766618E-3</v>
      </c>
      <c r="E158">
        <f>VLOOKUP([1]!表1[[#This Row],[room_temperature+]],[1]Sheet1!$A$1:$E$295,5,0)</f>
        <v>967.41333333333341</v>
      </c>
    </row>
    <row r="159" spans="1:5" x14ac:dyDescent="0.2">
      <c r="A159">
        <v>24.991550063918631</v>
      </c>
      <c r="B159">
        <f>VLOOKUP([1]!表1[[#This Row],[room_temperature+]],[1]Sheet1!$A$1:$E$295,2,0)</f>
        <v>-3.5828848690574233E-2</v>
      </c>
      <c r="C159">
        <f>VLOOKUP([1]!表1[[#This Row],[room_temperature+]],[1]Sheet1!$A$1:$E$295,3,0)</f>
        <v>-3.8284061093690189E-2</v>
      </c>
      <c r="D159">
        <f>VLOOKUP([1]!表1[[#This Row],[room_temperature+]],[1]Sheet1!$A$1:$E$295,4,0)</f>
        <v>2.455212403115956E-3</v>
      </c>
      <c r="E159">
        <f>VLOOKUP([1]!表1[[#This Row],[room_temperature+]],[1]Sheet1!$A$1:$E$295,5,0)</f>
        <v>967.08333333333314</v>
      </c>
    </row>
    <row r="160" spans="1:5" x14ac:dyDescent="0.2">
      <c r="A160">
        <v>25.48313652205487</v>
      </c>
      <c r="B160">
        <f>VLOOKUP([1]!表1[[#This Row],[room_temperature+]],[1]Sheet1!$A$1:$E$295,2,0)</f>
        <v>-2.2047273198449291E-2</v>
      </c>
      <c r="C160">
        <f>VLOOKUP([1]!表1[[#This Row],[room_temperature+]],[1]Sheet1!$A$1:$E$295,3,0)</f>
        <v>-2.2231302218761229E-2</v>
      </c>
      <c r="D160">
        <f>VLOOKUP([1]!表1[[#This Row],[room_temperature+]],[1]Sheet1!$A$1:$E$295,4,0)</f>
        <v>-1.8402902031194179E-4</v>
      </c>
      <c r="E160">
        <f>VLOOKUP([1]!表1[[#This Row],[room_temperature+]],[1]Sheet1!$A$1:$E$295,5,0)</f>
        <v>140.54599999999999</v>
      </c>
    </row>
    <row r="161" spans="1:5" x14ac:dyDescent="0.2">
      <c r="A161">
        <v>25.619617365517779</v>
      </c>
      <c r="B161">
        <f>VLOOKUP([1]!表1[[#This Row],[room_temperature+]],[1]Sheet1!$A$1:$E$295,2,0)</f>
        <v>-3.5640897395947127E-2</v>
      </c>
      <c r="C161">
        <f>VLOOKUP([1]!表1[[#This Row],[room_temperature+]],[1]Sheet1!$A$1:$E$295,3,0)</f>
        <v>-3.2779797072240442E-2</v>
      </c>
      <c r="D161">
        <f>VLOOKUP([1]!表1[[#This Row],[room_temperature+]],[1]Sheet1!$A$1:$E$295,4,0)</f>
        <v>2.8611003237066922E-3</v>
      </c>
      <c r="E161">
        <f>VLOOKUP([1]!表1[[#This Row],[room_temperature+]],[1]Sheet1!$A$1:$E$295,5,0)</f>
        <v>235.19</v>
      </c>
    </row>
    <row r="162" spans="1:5" x14ac:dyDescent="0.2">
      <c r="A162">
        <v>25.782089629263599</v>
      </c>
      <c r="B162">
        <f>VLOOKUP([1]!表1[[#This Row],[room_temperature+]],[1]Sheet1!$A$1:$E$295,2,0)</f>
        <v>-1.065528081361105E-2</v>
      </c>
      <c r="C162">
        <f>VLOOKUP([1]!表1[[#This Row],[room_temperature+]],[1]Sheet1!$A$1:$E$295,3,0)</f>
        <v>-1.499494735854936E-2</v>
      </c>
      <c r="D162">
        <f>VLOOKUP([1]!表1[[#This Row],[room_temperature+]],[1]Sheet1!$A$1:$E$295,4,0)</f>
        <v>-4.3396665449383096E-3</v>
      </c>
      <c r="E162">
        <f>VLOOKUP([1]!表1[[#This Row],[room_temperature+]],[1]Sheet1!$A$1:$E$295,5,0)</f>
        <v>232.68600000000001</v>
      </c>
    </row>
    <row r="163" spans="1:5" x14ac:dyDescent="0.2">
      <c r="A163">
        <v>25.822686341149819</v>
      </c>
      <c r="B163">
        <f>VLOOKUP([1]!表1[[#This Row],[room_temperature+]],[1]Sheet1!$A$1:$E$295,2,0)</f>
        <v>-3.3366540137351408E-2</v>
      </c>
      <c r="C163">
        <f>VLOOKUP([1]!表1[[#This Row],[room_temperature+]],[1]Sheet1!$A$1:$E$295,3,0)</f>
        <v>-2.08621163027575E-2</v>
      </c>
      <c r="D163">
        <f>VLOOKUP([1]!表1[[#This Row],[room_temperature+]],[1]Sheet1!$A$1:$E$295,4,0)</f>
        <v>1.250442383459391E-2</v>
      </c>
      <c r="E163">
        <f>VLOOKUP([1]!表1[[#This Row],[room_temperature+]],[1]Sheet1!$A$1:$E$295,5,0)</f>
        <v>232.25399999999999</v>
      </c>
    </row>
    <row r="164" spans="1:5" x14ac:dyDescent="0.2">
      <c r="A164">
        <v>25.954306422017201</v>
      </c>
      <c r="B164">
        <f>VLOOKUP([1]!表1[[#This Row],[room_temperature+]],[1]Sheet1!$A$1:$E$295,2,0)</f>
        <v>-2.1913787226148122E-2</v>
      </c>
      <c r="C164">
        <f>VLOOKUP([1]!表1[[#This Row],[room_temperature+]],[1]Sheet1!$A$1:$E$295,3,0)</f>
        <v>-2.1466693330409761E-2</v>
      </c>
      <c r="D164">
        <f>VLOOKUP([1]!表1[[#This Row],[room_temperature+]],[1]Sheet1!$A$1:$E$295,4,0)</f>
        <v>4.4709389573835412E-4</v>
      </c>
      <c r="E164">
        <f>VLOOKUP([1]!表1[[#This Row],[room_temperature+]],[1]Sheet1!$A$1:$E$295,5,0)</f>
        <v>286.37599999999998</v>
      </c>
    </row>
    <row r="165" spans="1:5" x14ac:dyDescent="0.2">
      <c r="A165">
        <v>25.971916863408211</v>
      </c>
      <c r="B165">
        <f>VLOOKUP([1]!表1[[#This Row],[room_temperature+]],[1]Sheet1!$A$1:$E$295,2,0)</f>
        <v>-2.846321032352048E-2</v>
      </c>
      <c r="C165">
        <f>VLOOKUP([1]!表1[[#This Row],[room_temperature+]],[1]Sheet1!$A$1:$E$295,3,0)</f>
        <v>-2.4227142870359271E-2</v>
      </c>
      <c r="D165">
        <f>VLOOKUP([1]!表1[[#This Row],[room_temperature+]],[1]Sheet1!$A$1:$E$295,4,0)</f>
        <v>4.2360674531612104E-3</v>
      </c>
      <c r="E165">
        <f>VLOOKUP([1]!表1[[#This Row],[room_temperature+]],[1]Sheet1!$A$1:$E$295,5,0)</f>
        <v>235.19</v>
      </c>
    </row>
    <row r="166" spans="1:5" x14ac:dyDescent="0.2">
      <c r="A166">
        <v>25.98068740103415</v>
      </c>
      <c r="B166">
        <f>VLOOKUP([1]!表1[[#This Row],[room_temperature+]],[1]Sheet1!$A$1:$E$295,2,0)</f>
        <v>-2.8306879322854771E-2</v>
      </c>
      <c r="C166">
        <f>VLOOKUP([1]!表1[[#This Row],[room_temperature+]],[1]Sheet1!$A$1:$E$295,3,0)</f>
        <v>-2.3978102829958981E-2</v>
      </c>
      <c r="D166">
        <f>VLOOKUP([1]!表1[[#This Row],[room_temperature+]],[1]Sheet1!$A$1:$E$295,4,0)</f>
        <v>4.3287764928957861E-3</v>
      </c>
      <c r="E166">
        <f>VLOOKUP([1]!表1[[#This Row],[room_temperature+]],[1]Sheet1!$A$1:$E$295,5,0)</f>
        <v>235.19</v>
      </c>
    </row>
    <row r="167" spans="1:5" x14ac:dyDescent="0.2">
      <c r="A167">
        <v>25.99545772034444</v>
      </c>
      <c r="B167">
        <f>VLOOKUP([1]!表1[[#This Row],[room_temperature+]],[1]Sheet1!$A$1:$E$295,2,0)</f>
        <v>-9.0566429994994521E-3</v>
      </c>
      <c r="C167">
        <f>VLOOKUP([1]!表1[[#This Row],[room_temperature+]],[1]Sheet1!$A$1:$E$295,3,0)</f>
        <v>-8.3548402946702935E-4</v>
      </c>
      <c r="D167">
        <f>VLOOKUP([1]!表1[[#This Row],[room_temperature+]],[1]Sheet1!$A$1:$E$295,4,0)</f>
        <v>8.2211589700324234E-3</v>
      </c>
      <c r="E167">
        <f>VLOOKUP([1]!表1[[#This Row],[room_temperature+]],[1]Sheet1!$A$1:$E$295,5,0)</f>
        <v>661.34866666666619</v>
      </c>
    </row>
    <row r="168" spans="1:5" x14ac:dyDescent="0.2">
      <c r="A168">
        <v>26.045327092367138</v>
      </c>
      <c r="B168">
        <f>VLOOKUP([1]!表1[[#This Row],[room_temperature+]],[1]Sheet1!$A$1:$E$295,2,0)</f>
        <v>-2.1957355813937669E-2</v>
      </c>
      <c r="C168">
        <f>VLOOKUP([1]!表1[[#This Row],[room_temperature+]],[1]Sheet1!$A$1:$E$295,3,0)</f>
        <v>-2.144926797295672E-2</v>
      </c>
      <c r="D168">
        <f>VLOOKUP([1]!表1[[#This Row],[room_temperature+]],[1]Sheet1!$A$1:$E$295,4,0)</f>
        <v>5.0808784098094889E-4</v>
      </c>
      <c r="E168">
        <f>VLOOKUP([1]!表1[[#This Row],[room_temperature+]],[1]Sheet1!$A$1:$E$295,5,0)</f>
        <v>287.09866666666647</v>
      </c>
    </row>
    <row r="169" spans="1:5" x14ac:dyDescent="0.2">
      <c r="A169">
        <v>26.10863505285716</v>
      </c>
      <c r="B169">
        <f>VLOOKUP([1]!表1[[#This Row],[room_temperature+]],[1]Sheet1!$A$1:$E$295,2,0)</f>
        <v>-2.2953739469846149E-2</v>
      </c>
      <c r="C169">
        <f>VLOOKUP([1]!表1[[#This Row],[room_temperature+]],[1]Sheet1!$A$1:$E$295,3,0)</f>
        <v>-2.1728498477041482E-2</v>
      </c>
      <c r="D169">
        <f>VLOOKUP([1]!表1[[#This Row],[room_temperature+]],[1]Sheet1!$A$1:$E$295,4,0)</f>
        <v>1.2252409928046671E-3</v>
      </c>
      <c r="E169">
        <f>VLOOKUP([1]!表1[[#This Row],[room_temperature+]],[1]Sheet1!$A$1:$E$295,5,0)</f>
        <v>140.6999999999999</v>
      </c>
    </row>
    <row r="170" spans="1:5" x14ac:dyDescent="0.2">
      <c r="A170">
        <v>26.131688568280151</v>
      </c>
      <c r="B170">
        <f>VLOOKUP([1]!表1[[#This Row],[room_temperature+]],[1]Sheet1!$A$1:$E$295,2,0)</f>
        <v>-2.2243805502854479E-2</v>
      </c>
      <c r="C170">
        <f>VLOOKUP([1]!表1[[#This Row],[room_temperature+]],[1]Sheet1!$A$1:$E$295,3,0)</f>
        <v>-2.1067468075319201E-2</v>
      </c>
      <c r="D170">
        <f>VLOOKUP([1]!表1[[#This Row],[room_temperature+]],[1]Sheet1!$A$1:$E$295,4,0)</f>
        <v>1.176337427535278E-3</v>
      </c>
      <c r="E170">
        <f>VLOOKUP([1]!表1[[#This Row],[room_temperature+]],[1]Sheet1!$A$1:$E$295,5,0)</f>
        <v>140.72800000000001</v>
      </c>
    </row>
    <row r="171" spans="1:5" x14ac:dyDescent="0.2">
      <c r="A171">
        <v>26.14060289364004</v>
      </c>
      <c r="B171">
        <f>VLOOKUP([1]!表1[[#This Row],[room_temperature+]],[1]Sheet1!$A$1:$E$295,2,0)</f>
        <v>-2.2002961192320619E-2</v>
      </c>
      <c r="C171">
        <f>VLOOKUP([1]!表1[[#This Row],[room_temperature+]],[1]Sheet1!$A$1:$E$295,3,0)</f>
        <v>-2.1431027996395111E-2</v>
      </c>
      <c r="D171">
        <f>VLOOKUP([1]!表1[[#This Row],[room_temperature+]],[1]Sheet1!$A$1:$E$295,4,0)</f>
        <v>5.7193319592550862E-4</v>
      </c>
      <c r="E171">
        <f>VLOOKUP([1]!表1[[#This Row],[room_temperature+]],[1]Sheet1!$A$1:$E$295,5,0)</f>
        <v>281.75266666666653</v>
      </c>
    </row>
    <row r="172" spans="1:5" x14ac:dyDescent="0.2">
      <c r="A172">
        <v>26.162939764030138</v>
      </c>
      <c r="B172">
        <f>VLOOKUP([1]!表1[[#This Row],[room_temperature+]],[1]Sheet1!$A$1:$E$295,2,0)</f>
        <v>-2.201365311421916E-2</v>
      </c>
      <c r="C172">
        <f>VLOOKUP([1]!表1[[#This Row],[room_temperature+]],[1]Sheet1!$A$1:$E$295,3,0)</f>
        <v>-2.1426751737503219E-2</v>
      </c>
      <c r="D172">
        <f>VLOOKUP([1]!表1[[#This Row],[room_temperature+]],[1]Sheet1!$A$1:$E$295,4,0)</f>
        <v>5.8690137671594741E-4</v>
      </c>
      <c r="E172">
        <f>VLOOKUP([1]!表1[[#This Row],[room_temperature+]],[1]Sheet1!$A$1:$E$295,5,0)</f>
        <v>286.41599999999988</v>
      </c>
    </row>
    <row r="173" spans="1:5" x14ac:dyDescent="0.2">
      <c r="A173">
        <v>26.199229084736981</v>
      </c>
      <c r="B173">
        <f>VLOOKUP([1]!表1[[#This Row],[room_temperature+]],[1]Sheet1!$A$1:$E$295,2,0)</f>
        <v>-2.5831285640437351E-2</v>
      </c>
      <c r="C173">
        <f>VLOOKUP([1]!表1[[#This Row],[room_temperature+]],[1]Sheet1!$A$1:$E$295,3,0)</f>
        <v>-1.0665429928535929E-2</v>
      </c>
      <c r="D173">
        <f>VLOOKUP([1]!表1[[#This Row],[room_temperature+]],[1]Sheet1!$A$1:$E$295,4,0)</f>
        <v>1.516585571190142E-2</v>
      </c>
      <c r="E173">
        <f>VLOOKUP([1]!表1[[#This Row],[room_temperature+]],[1]Sheet1!$A$1:$E$295,5,0)</f>
        <v>241.04266666666661</v>
      </c>
    </row>
    <row r="174" spans="1:5" x14ac:dyDescent="0.2">
      <c r="A174">
        <v>26.221179079850039</v>
      </c>
      <c r="B174">
        <f>VLOOKUP([1]!表1[[#This Row],[room_temperature+]],[1]Sheet1!$A$1:$E$295,2,0)</f>
        <v>-2.539202926861828E-2</v>
      </c>
      <c r="C174">
        <f>VLOOKUP([1]!表1[[#This Row],[room_temperature+]],[1]Sheet1!$A$1:$E$295,3,0)</f>
        <v>-5.3752014502864614E-3</v>
      </c>
      <c r="D174">
        <f>VLOOKUP([1]!表1[[#This Row],[room_temperature+]],[1]Sheet1!$A$1:$E$295,4,0)</f>
        <v>2.001682781833182E-2</v>
      </c>
      <c r="E174">
        <f>VLOOKUP([1]!表1[[#This Row],[room_temperature+]],[1]Sheet1!$A$1:$E$295,5,0)</f>
        <v>671.84533333333309</v>
      </c>
    </row>
    <row r="175" spans="1:5" x14ac:dyDescent="0.2">
      <c r="A175">
        <v>26.323510078817481</v>
      </c>
      <c r="B175">
        <f>VLOOKUP([1]!表1[[#This Row],[room_temperature+]],[1]Sheet1!$A$1:$E$295,2,0)</f>
        <v>2.174764481409342E-4</v>
      </c>
      <c r="C175">
        <f>VLOOKUP([1]!表1[[#This Row],[room_temperature+]],[1]Sheet1!$A$1:$E$295,3,0)</f>
        <v>8.7144229509997697E-3</v>
      </c>
      <c r="D175">
        <f>VLOOKUP([1]!表1[[#This Row],[room_temperature+]],[1]Sheet1!$A$1:$E$295,4,0)</f>
        <v>8.4969465028588362E-3</v>
      </c>
      <c r="E175">
        <f>VLOOKUP([1]!表1[[#This Row],[room_temperature+]],[1]Sheet1!$A$1:$E$295,5,0)</f>
        <v>665.96066666666604</v>
      </c>
    </row>
    <row r="176" spans="1:5" x14ac:dyDescent="0.2">
      <c r="A176">
        <v>26.417214694601629</v>
      </c>
      <c r="B176">
        <f>VLOOKUP([1]!表1[[#This Row],[room_temperature+]],[1]Sheet1!$A$1:$E$295,2,0)</f>
        <v>1.372941374733495E-3</v>
      </c>
      <c r="C176">
        <f>VLOOKUP([1]!表1[[#This Row],[room_temperature+]],[1]Sheet1!$A$1:$E$295,3,0)</f>
        <v>1.0982424561550561E-2</v>
      </c>
      <c r="D176">
        <f>VLOOKUP([1]!表1[[#This Row],[room_temperature+]],[1]Sheet1!$A$1:$E$295,4,0)</f>
        <v>9.6094831868170621E-3</v>
      </c>
      <c r="E176">
        <f>VLOOKUP([1]!表1[[#This Row],[room_temperature+]],[1]Sheet1!$A$1:$E$295,5,0)</f>
        <v>500.3</v>
      </c>
    </row>
    <row r="177" spans="1:5" x14ac:dyDescent="0.2">
      <c r="A177">
        <v>26.458719337329661</v>
      </c>
      <c r="B177">
        <f>VLOOKUP([1]!表1[[#This Row],[room_temperature+]],[1]Sheet1!$A$1:$E$295,2,0)</f>
        <v>3.1610599674416059E-3</v>
      </c>
      <c r="C177">
        <f>VLOOKUP([1]!表1[[#This Row],[room_temperature+]],[1]Sheet1!$A$1:$E$295,3,0)</f>
        <v>1.1890397469904871E-2</v>
      </c>
      <c r="D177">
        <f>VLOOKUP([1]!表1[[#This Row],[room_temperature+]],[1]Sheet1!$A$1:$E$295,4,0)</f>
        <v>8.7293375024632656E-3</v>
      </c>
      <c r="E177">
        <f>VLOOKUP([1]!表1[[#This Row],[room_temperature+]],[1]Sheet1!$A$1:$E$295,5,0)</f>
        <v>671.30799999999965</v>
      </c>
    </row>
    <row r="178" spans="1:5" x14ac:dyDescent="0.2">
      <c r="A178">
        <v>26.49956878399701</v>
      </c>
      <c r="B178">
        <f>VLOOKUP([1]!表1[[#This Row],[room_temperature+]],[1]Sheet1!$A$1:$E$295,2,0)</f>
        <v>-1.9820982406623781E-2</v>
      </c>
      <c r="C178">
        <f>VLOOKUP([1]!表1[[#This Row],[room_temperature+]],[1]Sheet1!$A$1:$E$295,3,0)</f>
        <v>-2.6388657954748238E-3</v>
      </c>
      <c r="D178">
        <f>VLOOKUP([1]!表1[[#This Row],[room_temperature+]],[1]Sheet1!$A$1:$E$295,4,0)</f>
        <v>1.7182116611148952E-2</v>
      </c>
      <c r="E178">
        <f>VLOOKUP([1]!表1[[#This Row],[room_temperature+]],[1]Sheet1!$A$1:$E$295,5,0)</f>
        <v>232.25399999999999</v>
      </c>
    </row>
    <row r="179" spans="1:5" x14ac:dyDescent="0.2">
      <c r="A179">
        <v>26.58536608093473</v>
      </c>
      <c r="B179">
        <f>VLOOKUP([1]!表1[[#This Row],[room_temperature+]],[1]Sheet1!$A$1:$E$295,2,0)</f>
        <v>1.2899010699609409E-2</v>
      </c>
      <c r="C179">
        <f>VLOOKUP([1]!表1[[#This Row],[room_temperature+]],[1]Sheet1!$A$1:$E$295,3,0)</f>
        <v>2.1178170528156709E-2</v>
      </c>
      <c r="D179">
        <f>VLOOKUP([1]!表1[[#This Row],[room_temperature+]],[1]Sheet1!$A$1:$E$295,4,0)</f>
        <v>8.279159828547298E-3</v>
      </c>
      <c r="E179">
        <f>VLOOKUP([1]!表1[[#This Row],[room_temperature+]],[1]Sheet1!$A$1:$E$295,5,0)</f>
        <v>767.90733333333333</v>
      </c>
    </row>
    <row r="180" spans="1:5" x14ac:dyDescent="0.2">
      <c r="A180">
        <v>26.69204210046048</v>
      </c>
      <c r="B180">
        <f>VLOOKUP([1]!表1[[#This Row],[room_temperature+]],[1]Sheet1!$A$1:$E$295,2,0)</f>
        <v>9.413104556900604E-3</v>
      </c>
      <c r="C180">
        <f>VLOOKUP([1]!表1[[#This Row],[room_temperature+]],[1]Sheet1!$A$1:$E$295,3,0)</f>
        <v>2.091844913935665E-2</v>
      </c>
      <c r="D180">
        <f>VLOOKUP([1]!表1[[#This Row],[room_temperature+]],[1]Sheet1!$A$1:$E$295,4,0)</f>
        <v>1.1505344582456041E-2</v>
      </c>
      <c r="E180">
        <f>VLOOKUP([1]!表1[[#This Row],[room_temperature+]],[1]Sheet1!$A$1:$E$295,5,0)</f>
        <v>660.44999999999993</v>
      </c>
    </row>
    <row r="181" spans="1:5" x14ac:dyDescent="0.2">
      <c r="A181">
        <v>26.702051277802571</v>
      </c>
      <c r="B181">
        <f>VLOOKUP([1]!表1[[#This Row],[room_temperature+]],[1]Sheet1!$A$1:$E$295,2,0)</f>
        <v>-1.5768966671412921E-2</v>
      </c>
      <c r="C181">
        <f>VLOOKUP([1]!表1[[#This Row],[room_temperature+]],[1]Sheet1!$A$1:$E$295,3,0)</f>
        <v>2.8536602605886978E-3</v>
      </c>
      <c r="D181">
        <f>VLOOKUP([1]!表1[[#This Row],[room_temperature+]],[1]Sheet1!$A$1:$E$295,4,0)</f>
        <v>1.8622626932001621E-2</v>
      </c>
      <c r="E181">
        <f>VLOOKUP([1]!表1[[#This Row],[room_temperature+]],[1]Sheet1!$A$1:$E$295,5,0)</f>
        <v>241.04266666666661</v>
      </c>
    </row>
    <row r="182" spans="1:5" x14ac:dyDescent="0.2">
      <c r="A182">
        <v>26.735846293893179</v>
      </c>
      <c r="B182">
        <f>VLOOKUP([1]!表1[[#This Row],[room_temperature+]],[1]Sheet1!$A$1:$E$295,2,0)</f>
        <v>-2.2287884542592309E-2</v>
      </c>
      <c r="C182">
        <f>VLOOKUP([1]!表1[[#This Row],[room_temperature+]],[1]Sheet1!$A$1:$E$295,3,0)</f>
        <v>-2.1317072243475489E-2</v>
      </c>
      <c r="D182">
        <f>VLOOKUP([1]!表1[[#This Row],[room_temperature+]],[1]Sheet1!$A$1:$E$295,4,0)</f>
        <v>9.7081229911682651E-4</v>
      </c>
      <c r="E182">
        <f>VLOOKUP([1]!表1[[#This Row],[room_temperature+]],[1]Sheet1!$A$1:$E$295,5,0)</f>
        <v>286.39133333333342</v>
      </c>
    </row>
    <row r="183" spans="1:5" x14ac:dyDescent="0.2">
      <c r="A183">
        <v>26.736114793596219</v>
      </c>
      <c r="B183">
        <f>VLOOKUP([1]!表1[[#This Row],[room_temperature+]],[1]Sheet1!$A$1:$E$295,2,0)</f>
        <v>1.539901312276926E-2</v>
      </c>
      <c r="C183">
        <f>VLOOKUP([1]!表1[[#This Row],[room_temperature+]],[1]Sheet1!$A$1:$E$295,3,0)</f>
        <v>-4.1163529658206077E-3</v>
      </c>
      <c r="D183">
        <f>VLOOKUP([1]!表1[[#This Row],[room_temperature+]],[1]Sheet1!$A$1:$E$295,4,0)</f>
        <v>-1.9515366088589871E-2</v>
      </c>
      <c r="E183">
        <f>VLOOKUP([1]!表1[[#This Row],[room_temperature+]],[1]Sheet1!$A$1:$E$295,5,0)</f>
        <v>234.90000000000009</v>
      </c>
    </row>
    <row r="184" spans="1:5" x14ac:dyDescent="0.2">
      <c r="A184">
        <v>26.749643906811372</v>
      </c>
      <c r="B184">
        <f>VLOOKUP([1]!表1[[#This Row],[room_temperature+]],[1]Sheet1!$A$1:$E$295,2,0)</f>
        <v>-2.229448900405586E-2</v>
      </c>
      <c r="C184">
        <f>VLOOKUP([1]!表1[[#This Row],[room_temperature+]],[1]Sheet1!$A$1:$E$295,3,0)</f>
        <v>-2.1314430773838159E-2</v>
      </c>
      <c r="D184">
        <f>VLOOKUP([1]!表1[[#This Row],[room_temperature+]],[1]Sheet1!$A$1:$E$295,4,0)</f>
        <v>9.80058230217698E-4</v>
      </c>
      <c r="E184">
        <f>VLOOKUP([1]!表1[[#This Row],[room_temperature+]],[1]Sheet1!$A$1:$E$295,5,0)</f>
        <v>281.30000000000018</v>
      </c>
    </row>
    <row r="185" spans="1:5" x14ac:dyDescent="0.2">
      <c r="A185">
        <v>26.76862204656743</v>
      </c>
      <c r="B185">
        <f>VLOOKUP([1]!表1[[#This Row],[room_temperature+]],[1]Sheet1!$A$1:$E$295,2,0)</f>
        <v>-2.2303573212564379E-2</v>
      </c>
      <c r="C185">
        <f>VLOOKUP([1]!表1[[#This Row],[room_temperature+]],[1]Sheet1!$A$1:$E$295,3,0)</f>
        <v>-2.1310797523634979E-2</v>
      </c>
      <c r="D185">
        <f>VLOOKUP([1]!表1[[#This Row],[room_temperature+]],[1]Sheet1!$A$1:$E$295,4,0)</f>
        <v>9.9277568892940787E-4</v>
      </c>
      <c r="E185">
        <f>VLOOKUP([1]!表1[[#This Row],[room_temperature+]],[1]Sheet1!$A$1:$E$295,5,0)</f>
        <v>282.67733333333348</v>
      </c>
    </row>
    <row r="186" spans="1:5" x14ac:dyDescent="0.2">
      <c r="A186">
        <v>26.796988970417281</v>
      </c>
      <c r="B186">
        <f>VLOOKUP([1]!表1[[#This Row],[room_temperature+]],[1]Sheet1!$A$1:$E$295,2,0)</f>
        <v>7.2157636232952228E-3</v>
      </c>
      <c r="C186">
        <f>VLOOKUP([1]!表1[[#This Row],[room_temperature+]],[1]Sheet1!$A$1:$E$295,3,0)</f>
        <v>2.2399825979917201E-2</v>
      </c>
      <c r="D186">
        <f>VLOOKUP([1]!表1[[#This Row],[room_temperature+]],[1]Sheet1!$A$1:$E$295,4,0)</f>
        <v>1.518406235662198E-2</v>
      </c>
      <c r="E186">
        <f>VLOOKUP([1]!表1[[#This Row],[room_temperature+]],[1]Sheet1!$A$1:$E$295,5,0)</f>
        <v>671.43599999999969</v>
      </c>
    </row>
    <row r="187" spans="1:5" x14ac:dyDescent="0.2">
      <c r="A187">
        <v>26.798888814626391</v>
      </c>
      <c r="B187">
        <f>VLOOKUP([1]!表1[[#This Row],[room_temperature+]],[1]Sheet1!$A$1:$E$295,2,0)</f>
        <v>-2.2318060914492011E-2</v>
      </c>
      <c r="C187">
        <f>VLOOKUP([1]!表1[[#This Row],[room_temperature+]],[1]Sheet1!$A$1:$E$295,3,0)</f>
        <v>-2.1305003133741469E-2</v>
      </c>
      <c r="D187">
        <f>VLOOKUP([1]!表1[[#This Row],[room_temperature+]],[1]Sheet1!$A$1:$E$295,4,0)</f>
        <v>1.0130577807505379E-3</v>
      </c>
      <c r="E187">
        <f>VLOOKUP([1]!表1[[#This Row],[room_temperature+]],[1]Sheet1!$A$1:$E$295,5,0)</f>
        <v>286.37133333333338</v>
      </c>
    </row>
    <row r="188" spans="1:5" x14ac:dyDescent="0.2">
      <c r="A188">
        <v>26.80775436353904</v>
      </c>
      <c r="B188">
        <f>VLOOKUP([1]!表1[[#This Row],[room_temperature+]],[1]Sheet1!$A$1:$E$295,2,0)</f>
        <v>1.823589432679586E-2</v>
      </c>
      <c r="C188">
        <f>VLOOKUP([1]!表1[[#This Row],[room_temperature+]],[1]Sheet1!$A$1:$E$295,3,0)</f>
        <v>2.664669279003587E-2</v>
      </c>
      <c r="D188">
        <f>VLOOKUP([1]!表1[[#This Row],[room_temperature+]],[1]Sheet1!$A$1:$E$295,4,0)</f>
        <v>8.4107984632400164E-3</v>
      </c>
      <c r="E188">
        <f>VLOOKUP([1]!表1[[#This Row],[room_temperature+]],[1]Sheet1!$A$1:$E$295,5,0)</f>
        <v>585.25400000000002</v>
      </c>
    </row>
    <row r="189" spans="1:5" x14ac:dyDescent="0.2">
      <c r="A189">
        <v>26.80901120687157</v>
      </c>
      <c r="B189">
        <f>VLOOKUP([1]!表1[[#This Row],[room_temperature+]],[1]Sheet1!$A$1:$E$295,2,0)</f>
        <v>-2.2322906169239959E-2</v>
      </c>
      <c r="C189">
        <f>VLOOKUP([1]!表1[[#This Row],[room_temperature+]],[1]Sheet1!$A$1:$E$295,3,0)</f>
        <v>-2.1303065262898789E-2</v>
      </c>
      <c r="D189">
        <f>VLOOKUP([1]!表1[[#This Row],[room_temperature+]],[1]Sheet1!$A$1:$E$295,4,0)</f>
        <v>1.0198409063411659E-3</v>
      </c>
      <c r="E189">
        <f>VLOOKUP([1]!表1[[#This Row],[room_temperature+]],[1]Sheet1!$A$1:$E$295,5,0)</f>
        <v>288.19200000000001</v>
      </c>
    </row>
    <row r="190" spans="1:5" x14ac:dyDescent="0.2">
      <c r="A190">
        <v>26.819457345715879</v>
      </c>
      <c r="B190">
        <f>VLOOKUP([1]!表1[[#This Row],[room_temperature+]],[1]Sheet1!$A$1:$E$295,2,0)</f>
        <v>-2.232790639078909E-2</v>
      </c>
      <c r="C190">
        <f>VLOOKUP([1]!表1[[#This Row],[room_temperature+]],[1]Sheet1!$A$1:$E$295,3,0)</f>
        <v>-2.130106541272557E-2</v>
      </c>
      <c r="D190">
        <f>VLOOKUP([1]!表1[[#This Row],[room_temperature+]],[1]Sheet1!$A$1:$E$295,4,0)</f>
        <v>1.0268409780635199E-3</v>
      </c>
      <c r="E190">
        <f>VLOOKUP([1]!表1[[#This Row],[room_temperature+]],[1]Sheet1!$A$1:$E$295,5,0)</f>
        <v>286.39133333333342</v>
      </c>
    </row>
    <row r="191" spans="1:5" x14ac:dyDescent="0.2">
      <c r="A191">
        <v>26.83435811436976</v>
      </c>
      <c r="B191">
        <f>VLOOKUP([1]!表1[[#This Row],[room_temperature+]],[1]Sheet1!$A$1:$E$295,2,0)</f>
        <v>-2.233503889645767E-2</v>
      </c>
      <c r="C191">
        <f>VLOOKUP([1]!表1[[#This Row],[room_temperature+]],[1]Sheet1!$A$1:$E$295,3,0)</f>
        <v>-2.1298212750587169E-2</v>
      </c>
      <c r="D191">
        <f>VLOOKUP([1]!表1[[#This Row],[room_temperature+]],[1]Sheet1!$A$1:$E$295,4,0)</f>
        <v>1.0368261458704969E-3</v>
      </c>
      <c r="E191">
        <f>VLOOKUP([1]!表1[[#This Row],[room_temperature+]],[1]Sheet1!$A$1:$E$295,5,0)</f>
        <v>284.48866666666669</v>
      </c>
    </row>
    <row r="192" spans="1:5" x14ac:dyDescent="0.2">
      <c r="A192">
        <v>26.85125611036819</v>
      </c>
      <c r="B192">
        <f>VLOOKUP([1]!表1[[#This Row],[room_temperature+]],[1]Sheet1!$A$1:$E$295,2,0)</f>
        <v>1.0163971859702491E-2</v>
      </c>
      <c r="C192">
        <f>VLOOKUP([1]!表1[[#This Row],[room_temperature+]],[1]Sheet1!$A$1:$E$295,3,0)</f>
        <v>1.5237166081632E-2</v>
      </c>
      <c r="D192">
        <f>VLOOKUP([1]!表1[[#This Row],[room_temperature+]],[1]Sheet1!$A$1:$E$295,4,0)</f>
        <v>5.0731942219295108E-3</v>
      </c>
      <c r="E192">
        <f>VLOOKUP([1]!表1[[#This Row],[room_temperature+]],[1]Sheet1!$A$1:$E$295,5,0)</f>
        <v>176.36666666666659</v>
      </c>
    </row>
    <row r="193" spans="1:5" x14ac:dyDescent="0.2">
      <c r="A193">
        <v>26.977853734586649</v>
      </c>
      <c r="B193">
        <f>VLOOKUP([1]!表1[[#This Row],[room_temperature+]],[1]Sheet1!$A$1:$E$295,2,0)</f>
        <v>1.6982579596779769E-2</v>
      </c>
      <c r="C193">
        <f>VLOOKUP([1]!表1[[#This Row],[room_temperature+]],[1]Sheet1!$A$1:$E$295,3,0)</f>
        <v>2.9931753182803719E-2</v>
      </c>
      <c r="D193">
        <f>VLOOKUP([1]!表1[[#This Row],[room_temperature+]],[1]Sheet1!$A$1:$E$295,4,0)</f>
        <v>1.294917358602396E-2</v>
      </c>
      <c r="E193">
        <f>VLOOKUP([1]!表1[[#This Row],[room_temperature+]],[1]Sheet1!$A$1:$E$295,5,0)</f>
        <v>660.70466666666618</v>
      </c>
    </row>
    <row r="194" spans="1:5" x14ac:dyDescent="0.2">
      <c r="A194">
        <v>27.000644811448009</v>
      </c>
      <c r="B194">
        <f>VLOOKUP([1]!表1[[#This Row],[room_temperature+]],[1]Sheet1!$A$1:$E$295,2,0)</f>
        <v>-1.296546475455364E-2</v>
      </c>
      <c r="C194">
        <f>VLOOKUP([1]!表1[[#This Row],[room_temperature+]],[1]Sheet1!$A$1:$E$295,3,0)</f>
        <v>2.883181690101632E-2</v>
      </c>
      <c r="D194">
        <f>VLOOKUP([1]!表1[[#This Row],[room_temperature+]],[1]Sheet1!$A$1:$E$295,4,0)</f>
        <v>4.1797281655569958E-2</v>
      </c>
      <c r="E194">
        <f>VLOOKUP([1]!表1[[#This Row],[room_temperature+]],[1]Sheet1!$A$1:$E$295,5,0)</f>
        <v>588.18666666666695</v>
      </c>
    </row>
    <row r="195" spans="1:5" x14ac:dyDescent="0.2">
      <c r="A195">
        <v>27.040605473929041</v>
      </c>
      <c r="B195">
        <f>VLOOKUP([1]!表1[[#This Row],[room_temperature+]],[1]Sheet1!$A$1:$E$295,2,0)</f>
        <v>2.374316052854078E-2</v>
      </c>
      <c r="C195">
        <f>VLOOKUP([1]!表1[[#This Row],[room_temperature+]],[1]Sheet1!$A$1:$E$295,3,0)</f>
        <v>3.6240747847723583E-2</v>
      </c>
      <c r="D195">
        <f>VLOOKUP([1]!表1[[#This Row],[room_temperature+]],[1]Sheet1!$A$1:$E$295,4,0)</f>
        <v>1.2497587319182791E-2</v>
      </c>
      <c r="E195">
        <f>VLOOKUP([1]!表1[[#This Row],[room_temperature+]],[1]Sheet1!$A$1:$E$295,5,0)</f>
        <v>235.51533333333339</v>
      </c>
    </row>
    <row r="196" spans="1:5" x14ac:dyDescent="0.2">
      <c r="A196">
        <v>27.07667378281613</v>
      </c>
      <c r="B196">
        <f>VLOOKUP([1]!表1[[#This Row],[room_temperature+]],[1]Sheet1!$A$1:$E$295,2,0)</f>
        <v>-1.055170840306094E-2</v>
      </c>
      <c r="C196">
        <f>VLOOKUP([1]!表1[[#This Row],[room_temperature+]],[1]Sheet1!$A$1:$E$295,3,0)</f>
        <v>1.283891801372423E-2</v>
      </c>
      <c r="D196">
        <f>VLOOKUP([1]!表1[[#This Row],[room_temperature+]],[1]Sheet1!$A$1:$E$295,4,0)</f>
        <v>2.339062641678517E-2</v>
      </c>
      <c r="E196">
        <f>VLOOKUP([1]!表1[[#This Row],[room_temperature+]],[1]Sheet1!$A$1:$E$295,5,0)</f>
        <v>293.02466666666669</v>
      </c>
    </row>
    <row r="197" spans="1:5" x14ac:dyDescent="0.2">
      <c r="A197">
        <v>27.08475804672733</v>
      </c>
      <c r="B197">
        <f>VLOOKUP([1]!表1[[#This Row],[room_temperature+]],[1]Sheet1!$A$1:$E$295,2,0)</f>
        <v>2.3837308124893299E-2</v>
      </c>
      <c r="C197">
        <f>VLOOKUP([1]!表1[[#This Row],[room_temperature+]],[1]Sheet1!$A$1:$E$295,3,0)</f>
        <v>3.2186531169430578E-2</v>
      </c>
      <c r="D197">
        <f>VLOOKUP([1]!表1[[#This Row],[room_temperature+]],[1]Sheet1!$A$1:$E$295,4,0)</f>
        <v>8.349223044537276E-3</v>
      </c>
      <c r="E197">
        <f>VLOOKUP([1]!表1[[#This Row],[room_temperature+]],[1]Sheet1!$A$1:$E$295,5,0)</f>
        <v>418.26466666666681</v>
      </c>
    </row>
    <row r="198" spans="1:5" x14ac:dyDescent="0.2">
      <c r="A198">
        <v>27.14893646151523</v>
      </c>
      <c r="B198">
        <f>VLOOKUP([1]!表1[[#This Row],[room_temperature+]],[1]Sheet1!$A$1:$E$295,2,0)</f>
        <v>2.7143349879787039E-2</v>
      </c>
      <c r="C198">
        <f>VLOOKUP([1]!表1[[#This Row],[room_temperature+]],[1]Sheet1!$A$1:$E$295,3,0)</f>
        <v>6.198753344790941E-3</v>
      </c>
      <c r="D198">
        <f>VLOOKUP([1]!表1[[#This Row],[room_temperature+]],[1]Sheet1!$A$1:$E$295,4,0)</f>
        <v>-2.0944596534996099E-2</v>
      </c>
      <c r="E198">
        <f>VLOOKUP([1]!表1[[#This Row],[room_temperature+]],[1]Sheet1!$A$1:$E$295,5,0)</f>
        <v>234.90000000000009</v>
      </c>
    </row>
    <row r="199" spans="1:5" x14ac:dyDescent="0.2">
      <c r="A199">
        <v>27.197761535703329</v>
      </c>
      <c r="B199">
        <f>VLOOKUP([1]!表1[[#This Row],[room_temperature+]],[1]Sheet1!$A$1:$E$295,2,0)</f>
        <v>2.616977968815954E-2</v>
      </c>
      <c r="C199">
        <f>VLOOKUP([1]!表1[[#This Row],[room_temperature+]],[1]Sheet1!$A$1:$E$295,3,0)</f>
        <v>3.4057426641255092E-2</v>
      </c>
      <c r="D199">
        <f>VLOOKUP([1]!表1[[#This Row],[room_temperature+]],[1]Sheet1!$A$1:$E$295,4,0)</f>
        <v>7.8876469530955486E-3</v>
      </c>
      <c r="E199">
        <f>VLOOKUP([1]!表1[[#This Row],[room_temperature+]],[1]Sheet1!$A$1:$E$295,5,0)</f>
        <v>418.03733333333321</v>
      </c>
    </row>
    <row r="200" spans="1:5" x14ac:dyDescent="0.2">
      <c r="A200">
        <v>27.222780016426341</v>
      </c>
      <c r="B200">
        <f>VLOOKUP([1]!表1[[#This Row],[room_temperature+]],[1]Sheet1!$A$1:$E$295,2,0)</f>
        <v>-5.348307566402366E-3</v>
      </c>
      <c r="C200">
        <f>VLOOKUP([1]!表1[[#This Row],[room_temperature+]],[1]Sheet1!$A$1:$E$295,3,0)</f>
        <v>1.690911188099092E-2</v>
      </c>
      <c r="D200">
        <f>VLOOKUP([1]!表1[[#This Row],[room_temperature+]],[1]Sheet1!$A$1:$E$295,4,0)</f>
        <v>2.2257419447393279E-2</v>
      </c>
      <c r="E200">
        <f>VLOOKUP([1]!表1[[#This Row],[room_temperature+]],[1]Sheet1!$A$1:$E$295,5,0)</f>
        <v>241.08</v>
      </c>
    </row>
    <row r="201" spans="1:5" x14ac:dyDescent="0.2">
      <c r="A201">
        <v>27.34687724008694</v>
      </c>
      <c r="B201">
        <f>VLOOKUP([1]!表1[[#This Row],[room_temperature+]],[1]Sheet1!$A$1:$E$295,2,0)</f>
        <v>1.0076018062289629E-2</v>
      </c>
      <c r="C201">
        <f>VLOOKUP([1]!表1[[#This Row],[room_temperature+]],[1]Sheet1!$A$1:$E$295,3,0)</f>
        <v>4.1914391678167393E-2</v>
      </c>
      <c r="D201">
        <f>VLOOKUP([1]!表1[[#This Row],[room_temperature+]],[1]Sheet1!$A$1:$E$295,4,0)</f>
        <v>3.1838373615877748E-2</v>
      </c>
      <c r="E201">
        <f>VLOOKUP([1]!表1[[#This Row],[room_temperature+]],[1]Sheet1!$A$1:$E$295,5,0)</f>
        <v>432.32133333333331</v>
      </c>
    </row>
    <row r="202" spans="1:5" x14ac:dyDescent="0.2">
      <c r="A202">
        <v>27.39792690814896</v>
      </c>
      <c r="B202">
        <f>VLOOKUP([1]!表1[[#This Row],[room_temperature+]],[1]Sheet1!$A$1:$E$295,2,0)</f>
        <v>2.0396156745906859E-2</v>
      </c>
      <c r="C202">
        <f>VLOOKUP([1]!表1[[#This Row],[room_temperature+]],[1]Sheet1!$A$1:$E$295,3,0)</f>
        <v>3.647282807653119E-2</v>
      </c>
      <c r="D202">
        <f>VLOOKUP([1]!表1[[#This Row],[room_temperature+]],[1]Sheet1!$A$1:$E$295,4,0)</f>
        <v>1.6076671330624331E-2</v>
      </c>
      <c r="E202">
        <f>VLOOKUP([1]!表1[[#This Row],[room_temperature+]],[1]Sheet1!$A$1:$E$295,5,0)</f>
        <v>769.30000000000007</v>
      </c>
    </row>
    <row r="203" spans="1:5" x14ac:dyDescent="0.2">
      <c r="A203">
        <v>27.426273648889531</v>
      </c>
      <c r="B203">
        <f>VLOOKUP([1]!表1[[#This Row],[room_temperature+]],[1]Sheet1!$A$1:$E$295,2,0)</f>
        <v>1.4696017977239659E-2</v>
      </c>
      <c r="C203">
        <f>VLOOKUP([1]!表1[[#This Row],[room_temperature+]],[1]Sheet1!$A$1:$E$295,3,0)</f>
        <v>4.6586101577378913E-2</v>
      </c>
      <c r="D203">
        <f>VLOOKUP([1]!表1[[#This Row],[room_temperature+]],[1]Sheet1!$A$1:$E$295,4,0)</f>
        <v>3.1890083600139237E-2</v>
      </c>
      <c r="E203">
        <f>VLOOKUP([1]!表1[[#This Row],[room_temperature+]],[1]Sheet1!$A$1:$E$295,5,0)</f>
        <v>764.62866666666707</v>
      </c>
    </row>
    <row r="204" spans="1:5" x14ac:dyDescent="0.2">
      <c r="A204">
        <v>27.447246572802829</v>
      </c>
      <c r="B204">
        <f>VLOOKUP([1]!表1[[#This Row],[room_temperature+]],[1]Sheet1!$A$1:$E$295,2,0)</f>
        <v>3.7740543242360758E-2</v>
      </c>
      <c r="C204">
        <f>VLOOKUP([1]!表1[[#This Row],[room_temperature+]],[1]Sheet1!$A$1:$E$295,3,0)</f>
        <v>4.9608824156504472E-2</v>
      </c>
      <c r="D204">
        <f>VLOOKUP([1]!表1[[#This Row],[room_temperature+]],[1]Sheet1!$A$1:$E$295,4,0)</f>
        <v>1.1868280914143711E-2</v>
      </c>
      <c r="E204">
        <f>VLOOKUP([1]!表1[[#This Row],[room_temperature+]],[1]Sheet1!$A$1:$E$295,5,0)</f>
        <v>766.9100000000002</v>
      </c>
    </row>
    <row r="205" spans="1:5" x14ac:dyDescent="0.2">
      <c r="A205">
        <v>27.469699384686361</v>
      </c>
      <c r="B205">
        <f>VLOOKUP([1]!表1[[#This Row],[room_temperature+]],[1]Sheet1!$A$1:$E$295,2,0)</f>
        <v>3.7172710970436569E-2</v>
      </c>
      <c r="C205">
        <f>VLOOKUP([1]!表1[[#This Row],[room_temperature+]],[1]Sheet1!$A$1:$E$295,3,0)</f>
        <v>4.78469383487189E-2</v>
      </c>
      <c r="D205">
        <f>VLOOKUP([1]!表1[[#This Row],[room_temperature+]],[1]Sheet1!$A$1:$E$295,4,0)</f>
        <v>1.067422737828233E-2</v>
      </c>
      <c r="E205">
        <f>VLOOKUP([1]!表1[[#This Row],[room_temperature+]],[1]Sheet1!$A$1:$E$295,5,0)</f>
        <v>585.28266666666673</v>
      </c>
    </row>
    <row r="206" spans="1:5" x14ac:dyDescent="0.2">
      <c r="A206">
        <v>27.473050946687469</v>
      </c>
      <c r="B206">
        <f>VLOOKUP([1]!表1[[#This Row],[room_temperature+]],[1]Sheet1!$A$1:$E$295,2,0)</f>
        <v>3.0070961546511659E-2</v>
      </c>
      <c r="C206">
        <f>VLOOKUP([1]!表1[[#This Row],[room_temperature+]],[1]Sheet1!$A$1:$E$295,3,0)</f>
        <v>3.518216411615311E-2</v>
      </c>
      <c r="D206">
        <f>VLOOKUP([1]!表1[[#This Row],[room_temperature+]],[1]Sheet1!$A$1:$E$295,4,0)</f>
        <v>5.1112025696414473E-3</v>
      </c>
      <c r="E206">
        <f>VLOOKUP([1]!表1[[#This Row],[room_temperature+]],[1]Sheet1!$A$1:$E$295,5,0)</f>
        <v>236.4233333333332</v>
      </c>
    </row>
    <row r="207" spans="1:5" x14ac:dyDescent="0.2">
      <c r="A207">
        <v>27.52981213270305</v>
      </c>
      <c r="B207">
        <f>VLOOKUP([1]!表1[[#This Row],[room_temperature+]],[1]Sheet1!$A$1:$E$295,2,0)</f>
        <v>2.065164754665268E-2</v>
      </c>
      <c r="C207">
        <f>VLOOKUP([1]!表1[[#This Row],[room_temperature+]],[1]Sheet1!$A$1:$E$295,3,0)</f>
        <v>4.9172085389490382E-2</v>
      </c>
      <c r="D207">
        <f>VLOOKUP([1]!表1[[#This Row],[room_temperature+]],[1]Sheet1!$A$1:$E$295,4,0)</f>
        <v>2.8520437842837702E-2</v>
      </c>
      <c r="E207">
        <f>VLOOKUP([1]!表1[[#This Row],[room_temperature+]],[1]Sheet1!$A$1:$E$295,5,0)</f>
        <v>671.63066666666657</v>
      </c>
    </row>
    <row r="208" spans="1:5" x14ac:dyDescent="0.2">
      <c r="A208">
        <v>27.532752514701929</v>
      </c>
      <c r="B208">
        <f>VLOOKUP([1]!表1[[#This Row],[room_temperature+]],[1]Sheet1!$A$1:$E$295,2,0)</f>
        <v>1.1679312988664399E-2</v>
      </c>
      <c r="C208">
        <f>VLOOKUP([1]!表1[[#This Row],[room_temperature+]],[1]Sheet1!$A$1:$E$295,3,0)</f>
        <v>4.54143714682997E-2</v>
      </c>
      <c r="D208">
        <f>VLOOKUP([1]!表1[[#This Row],[room_temperature+]],[1]Sheet1!$A$1:$E$295,4,0)</f>
        <v>3.3735058479635302E-2</v>
      </c>
      <c r="E208">
        <f>VLOOKUP([1]!表1[[#This Row],[room_temperature+]],[1]Sheet1!$A$1:$E$295,5,0)</f>
        <v>589.0086666666665</v>
      </c>
    </row>
    <row r="209" spans="1:5" x14ac:dyDescent="0.2">
      <c r="A209">
        <v>27.565565728742438</v>
      </c>
      <c r="B209">
        <f>VLOOKUP([1]!表1[[#This Row],[room_temperature+]],[1]Sheet1!$A$1:$E$295,2,0)</f>
        <v>3.5004797332306582E-2</v>
      </c>
      <c r="C209">
        <f>VLOOKUP([1]!表1[[#This Row],[room_temperature+]],[1]Sheet1!$A$1:$E$295,3,0)</f>
        <v>4.3721186234844542E-2</v>
      </c>
      <c r="D209">
        <f>VLOOKUP([1]!表1[[#This Row],[room_temperature+]],[1]Sheet1!$A$1:$E$295,4,0)</f>
        <v>8.7163889025379596E-3</v>
      </c>
      <c r="E209">
        <f>VLOOKUP([1]!表1[[#This Row],[room_temperature+]],[1]Sheet1!$A$1:$E$295,5,0)</f>
        <v>418.38533333333311</v>
      </c>
    </row>
    <row r="210" spans="1:5" x14ac:dyDescent="0.2">
      <c r="A210">
        <v>27.583342758445831</v>
      </c>
      <c r="B210">
        <f>VLOOKUP([1]!表1[[#This Row],[room_temperature+]],[1]Sheet1!$A$1:$E$295,2,0)</f>
        <v>2.1221856776125061E-2</v>
      </c>
      <c r="C210">
        <f>VLOOKUP([1]!表1[[#This Row],[room_temperature+]],[1]Sheet1!$A$1:$E$295,3,0)</f>
        <v>5.0319753027926399E-2</v>
      </c>
      <c r="D210">
        <f>VLOOKUP([1]!表1[[#This Row],[room_temperature+]],[1]Sheet1!$A$1:$E$295,4,0)</f>
        <v>2.9097896251801338E-2</v>
      </c>
      <c r="E210">
        <f>VLOOKUP([1]!表1[[#This Row],[room_temperature+]],[1]Sheet1!$A$1:$E$295,5,0)</f>
        <v>766.5533333333334</v>
      </c>
    </row>
    <row r="211" spans="1:5" x14ac:dyDescent="0.2">
      <c r="A211">
        <v>27.588291217974199</v>
      </c>
      <c r="B211">
        <f>VLOOKUP([1]!表1[[#This Row],[room_temperature+]],[1]Sheet1!$A$1:$E$295,2,0)</f>
        <v>2.4703253663003188E-2</v>
      </c>
      <c r="C211">
        <f>VLOOKUP([1]!表1[[#This Row],[room_temperature+]],[1]Sheet1!$A$1:$E$295,3,0)</f>
        <v>4.7958834201183673E-2</v>
      </c>
      <c r="D211">
        <f>VLOOKUP([1]!表1[[#This Row],[room_temperature+]],[1]Sheet1!$A$1:$E$295,4,0)</f>
        <v>2.3255580538180481E-2</v>
      </c>
      <c r="E211">
        <f>VLOOKUP([1]!表1[[#This Row],[room_temperature+]],[1]Sheet1!$A$1:$E$295,5,0)</f>
        <v>660.97066666666672</v>
      </c>
    </row>
    <row r="212" spans="1:5" x14ac:dyDescent="0.2">
      <c r="A212">
        <v>27.597313025831721</v>
      </c>
      <c r="B212">
        <f>VLOOKUP([1]!表1[[#This Row],[room_temperature+]],[1]Sheet1!$A$1:$E$295,2,0)</f>
        <v>2.2105450062772911E-2</v>
      </c>
      <c r="C212">
        <f>VLOOKUP([1]!表1[[#This Row],[room_temperature+]],[1]Sheet1!$A$1:$E$295,3,0)</f>
        <v>4.9874768365532611E-2</v>
      </c>
      <c r="D212">
        <f>VLOOKUP([1]!表1[[#This Row],[room_temperature+]],[1]Sheet1!$A$1:$E$295,4,0)</f>
        <v>2.77693183027597E-2</v>
      </c>
      <c r="E212">
        <f>VLOOKUP([1]!表1[[#This Row],[room_temperature+]],[1]Sheet1!$A$1:$E$295,5,0)</f>
        <v>671.63066666666657</v>
      </c>
    </row>
    <row r="213" spans="1:5" x14ac:dyDescent="0.2">
      <c r="A213">
        <v>27.61681891278246</v>
      </c>
      <c r="B213">
        <f>VLOOKUP([1]!表1[[#This Row],[room_temperature+]],[1]Sheet1!$A$1:$E$295,2,0)</f>
        <v>2.1123618313854009E-2</v>
      </c>
      <c r="C213">
        <f>VLOOKUP([1]!表1[[#This Row],[room_temperature+]],[1]Sheet1!$A$1:$E$295,3,0)</f>
        <v>5.2255508906417072E-2</v>
      </c>
      <c r="D213">
        <f>VLOOKUP([1]!表1[[#This Row],[room_temperature+]],[1]Sheet1!$A$1:$E$295,4,0)</f>
        <v>3.113189059256306E-2</v>
      </c>
      <c r="E213">
        <f>VLOOKUP([1]!表1[[#This Row],[room_temperature+]],[1]Sheet1!$A$1:$E$295,5,0)</f>
        <v>766.85400000000004</v>
      </c>
    </row>
    <row r="214" spans="1:5" x14ac:dyDescent="0.2">
      <c r="A214">
        <v>27.63866929854656</v>
      </c>
      <c r="B214">
        <f>VLOOKUP([1]!表1[[#This Row],[room_temperature+]],[1]Sheet1!$A$1:$E$295,2,0)</f>
        <v>4.3257820771961497E-2</v>
      </c>
      <c r="C214">
        <f>VLOOKUP([1]!表1[[#This Row],[room_temperature+]],[1]Sheet1!$A$1:$E$295,3,0)</f>
        <v>5.5471211136095898E-2</v>
      </c>
      <c r="D214">
        <f>VLOOKUP([1]!表1[[#This Row],[room_temperature+]],[1]Sheet1!$A$1:$E$295,4,0)</f>
        <v>1.2213390364134409E-2</v>
      </c>
      <c r="E214">
        <f>VLOOKUP([1]!表1[[#This Row],[room_temperature+]],[1]Sheet1!$A$1:$E$295,5,0)</f>
        <v>768.11666666666679</v>
      </c>
    </row>
    <row r="215" spans="1:5" x14ac:dyDescent="0.2">
      <c r="A215">
        <v>27.66891732443608</v>
      </c>
      <c r="B215">
        <f>VLOOKUP([1]!表1[[#This Row],[room_temperature+]],[1]Sheet1!$A$1:$E$295,2,0)</f>
        <v>2.295819776439819E-2</v>
      </c>
      <c r="C215">
        <f>VLOOKUP([1]!表1[[#This Row],[room_temperature+]],[1]Sheet1!$A$1:$E$295,3,0)</f>
        <v>5.2884812948595379E-2</v>
      </c>
      <c r="D215">
        <f>VLOOKUP([1]!表1[[#This Row],[room_temperature+]],[1]Sheet1!$A$1:$E$295,4,0)</f>
        <v>2.9926615184197189E-2</v>
      </c>
      <c r="E215">
        <f>VLOOKUP([1]!表1[[#This Row],[room_temperature+]],[1]Sheet1!$A$1:$E$295,5,0)</f>
        <v>766.7166666666667</v>
      </c>
    </row>
    <row r="216" spans="1:5" x14ac:dyDescent="0.2">
      <c r="A216">
        <v>27.693691857236381</v>
      </c>
      <c r="B216">
        <f>VLOOKUP([1]!表1[[#This Row],[room_temperature+]],[1]Sheet1!$A$1:$E$295,2,0)</f>
        <v>4.0754315085015369E-3</v>
      </c>
      <c r="C216">
        <f>VLOOKUP([1]!表1[[#This Row],[room_temperature+]],[1]Sheet1!$A$1:$E$295,3,0)</f>
        <v>1.168838918580112E-2</v>
      </c>
      <c r="D216">
        <f>VLOOKUP([1]!表1[[#This Row],[room_temperature+]],[1]Sheet1!$A$1:$E$295,4,0)</f>
        <v>7.6129576772995811E-3</v>
      </c>
      <c r="E216">
        <f>VLOOKUP([1]!表1[[#This Row],[room_temperature+]],[1]Sheet1!$A$1:$E$295,5,0)</f>
        <v>349.16599999999983</v>
      </c>
    </row>
    <row r="217" spans="1:5" x14ac:dyDescent="0.2">
      <c r="A217">
        <v>27.699518438160769</v>
      </c>
      <c r="B217">
        <f>VLOOKUP([1]!表1[[#This Row],[room_temperature+]],[1]Sheet1!$A$1:$E$295,2,0)</f>
        <v>4.2431276371505143E-2</v>
      </c>
      <c r="C217">
        <f>VLOOKUP([1]!表1[[#This Row],[room_temperature+]],[1]Sheet1!$A$1:$E$295,3,0)</f>
        <v>2.0021105225894099E-2</v>
      </c>
      <c r="D217">
        <f>VLOOKUP([1]!表1[[#This Row],[room_temperature+]],[1]Sheet1!$A$1:$E$295,4,0)</f>
        <v>-2.241017114561104E-2</v>
      </c>
      <c r="E217">
        <f>VLOOKUP([1]!表1[[#This Row],[room_temperature+]],[1]Sheet1!$A$1:$E$295,5,0)</f>
        <v>234.90000000000009</v>
      </c>
    </row>
    <row r="218" spans="1:5" x14ac:dyDescent="0.2">
      <c r="A218">
        <v>27.724825490780571</v>
      </c>
      <c r="B218">
        <f>VLOOKUP([1]!表1[[#This Row],[room_temperature+]],[1]Sheet1!$A$1:$E$295,2,0)</f>
        <v>2.3369212878980389E-2</v>
      </c>
      <c r="C218">
        <f>VLOOKUP([1]!表1[[#This Row],[room_temperature+]],[1]Sheet1!$A$1:$E$295,3,0)</f>
        <v>5.5796147066442432E-2</v>
      </c>
      <c r="D218">
        <f>VLOOKUP([1]!表1[[#This Row],[room_temperature+]],[1]Sheet1!$A$1:$E$295,4,0)</f>
        <v>3.2426934187462043E-2</v>
      </c>
      <c r="E218">
        <f>VLOOKUP([1]!表1[[#This Row],[room_temperature+]],[1]Sheet1!$A$1:$E$295,5,0)</f>
        <v>768.43200000000013</v>
      </c>
    </row>
    <row r="219" spans="1:5" x14ac:dyDescent="0.2">
      <c r="A219">
        <v>27.73382244451933</v>
      </c>
      <c r="B219">
        <f>VLOOKUP([1]!表1[[#This Row],[room_temperature+]],[1]Sheet1!$A$1:$E$295,2,0)</f>
        <v>3.6786534416047352E-2</v>
      </c>
      <c r="C219">
        <f>VLOOKUP([1]!表1[[#This Row],[room_temperature+]],[1]Sheet1!$A$1:$E$295,3,0)</f>
        <v>5.3873502445414161E-2</v>
      </c>
      <c r="D219">
        <f>VLOOKUP([1]!表1[[#This Row],[room_temperature+]],[1]Sheet1!$A$1:$E$295,4,0)</f>
        <v>1.7086968029366819E-2</v>
      </c>
      <c r="E219">
        <f>VLOOKUP([1]!表1[[#This Row],[room_temperature+]],[1]Sheet1!$A$1:$E$295,5,0)</f>
        <v>662.9513333333332</v>
      </c>
    </row>
    <row r="220" spans="1:5" x14ac:dyDescent="0.2">
      <c r="A220">
        <v>27.75667695409884</v>
      </c>
      <c r="B220">
        <f>VLOOKUP([1]!表1[[#This Row],[room_temperature+]],[1]Sheet1!$A$1:$E$295,2,0)</f>
        <v>2.549214307758612E-2</v>
      </c>
      <c r="C220">
        <f>VLOOKUP([1]!表1[[#This Row],[room_temperature+]],[1]Sheet1!$A$1:$E$295,3,0)</f>
        <v>3.9845920190639469E-2</v>
      </c>
      <c r="D220">
        <f>VLOOKUP([1]!表1[[#This Row],[room_temperature+]],[1]Sheet1!$A$1:$E$295,4,0)</f>
        <v>1.435377711305335E-2</v>
      </c>
      <c r="E220">
        <f>VLOOKUP([1]!表1[[#This Row],[room_temperature+]],[1]Sheet1!$A$1:$E$295,5,0)</f>
        <v>291.00000000000011</v>
      </c>
    </row>
    <row r="221" spans="1:5" x14ac:dyDescent="0.2">
      <c r="A221">
        <v>27.79293007606811</v>
      </c>
      <c r="B221">
        <f>VLOOKUP([1]!表1[[#This Row],[room_temperature+]],[1]Sheet1!$A$1:$E$295,2,0)</f>
        <v>3.8483789186550467E-2</v>
      </c>
      <c r="C221">
        <f>VLOOKUP([1]!表1[[#This Row],[room_temperature+]],[1]Sheet1!$A$1:$E$295,3,0)</f>
        <v>5.5706717590610272E-2</v>
      </c>
      <c r="D221">
        <f>VLOOKUP([1]!表1[[#This Row],[room_temperature+]],[1]Sheet1!$A$1:$E$295,4,0)</f>
        <v>1.7222928404059801E-2</v>
      </c>
      <c r="E221">
        <f>VLOOKUP([1]!表1[[#This Row],[room_temperature+]],[1]Sheet1!$A$1:$E$295,5,0)</f>
        <v>662.72666666666635</v>
      </c>
    </row>
    <row r="222" spans="1:5" x14ac:dyDescent="0.2">
      <c r="A222">
        <v>27.795366684504781</v>
      </c>
      <c r="B222">
        <f>VLOOKUP([1]!表1[[#This Row],[room_temperature+]],[1]Sheet1!$A$1:$E$295,2,0)</f>
        <v>3.1913567731469437E-2</v>
      </c>
      <c r="C222">
        <f>VLOOKUP([1]!表1[[#This Row],[room_temperature+]],[1]Sheet1!$A$1:$E$295,3,0)</f>
        <v>4.6273452634178321E-2</v>
      </c>
      <c r="D222">
        <f>VLOOKUP([1]!表1[[#This Row],[room_temperature+]],[1]Sheet1!$A$1:$E$295,4,0)</f>
        <v>1.435988490270888E-2</v>
      </c>
      <c r="E222">
        <f>VLOOKUP([1]!表1[[#This Row],[room_temperature+]],[1]Sheet1!$A$1:$E$295,5,0)</f>
        <v>863.19999999999948</v>
      </c>
    </row>
    <row r="223" spans="1:5" x14ac:dyDescent="0.2">
      <c r="A223">
        <v>27.826640541686182</v>
      </c>
      <c r="B223">
        <f>VLOOKUP([1]!表1[[#This Row],[room_temperature+]],[1]Sheet1!$A$1:$E$295,2,0)</f>
        <v>3.944782324013299E-2</v>
      </c>
      <c r="C223">
        <f>VLOOKUP([1]!表1[[#This Row],[room_temperature+]],[1]Sheet1!$A$1:$E$295,3,0)</f>
        <v>5.6130233667107107E-2</v>
      </c>
      <c r="D223">
        <f>VLOOKUP([1]!表1[[#This Row],[room_temperature+]],[1]Sheet1!$A$1:$E$295,4,0)</f>
        <v>1.6682410426974121E-2</v>
      </c>
      <c r="E223">
        <f>VLOOKUP([1]!表1[[#This Row],[room_temperature+]],[1]Sheet1!$A$1:$E$295,5,0)</f>
        <v>659.32666666666637</v>
      </c>
    </row>
    <row r="224" spans="1:5" x14ac:dyDescent="0.2">
      <c r="A224">
        <v>27.833881637779601</v>
      </c>
      <c r="B224">
        <f>VLOOKUP([1]!表1[[#This Row],[room_temperature+]],[1]Sheet1!$A$1:$E$295,2,0)</f>
        <v>2.6708998649682989E-2</v>
      </c>
      <c r="C224">
        <f>VLOOKUP([1]!表1[[#This Row],[room_temperature+]],[1]Sheet1!$A$1:$E$295,3,0)</f>
        <v>5.6234617681041432E-2</v>
      </c>
      <c r="D224">
        <f>VLOOKUP([1]!表1[[#This Row],[room_temperature+]],[1]Sheet1!$A$1:$E$295,4,0)</f>
        <v>2.952561903135844E-2</v>
      </c>
      <c r="E224">
        <f>VLOOKUP([1]!表1[[#This Row],[room_temperature+]],[1]Sheet1!$A$1:$E$295,5,0)</f>
        <v>764.72666666666692</v>
      </c>
    </row>
    <row r="225" spans="1:5" x14ac:dyDescent="0.2">
      <c r="A225">
        <v>27.86530665866432</v>
      </c>
      <c r="B225">
        <f>VLOOKUP([1]!表1[[#This Row],[room_temperature+]],[1]Sheet1!$A$1:$E$295,2,0)</f>
        <v>4.4376565139189889E-2</v>
      </c>
      <c r="C225">
        <f>VLOOKUP([1]!表1[[#This Row],[room_temperature+]],[1]Sheet1!$A$1:$E$295,3,0)</f>
        <v>5.4916633401644557E-2</v>
      </c>
      <c r="D225">
        <f>VLOOKUP([1]!表1[[#This Row],[room_temperature+]],[1]Sheet1!$A$1:$E$295,4,0)</f>
        <v>1.0540068262454671E-2</v>
      </c>
      <c r="E225">
        <f>VLOOKUP([1]!表1[[#This Row],[room_temperature+]],[1]Sheet1!$A$1:$E$295,5,0)</f>
        <v>496.10399999999993</v>
      </c>
    </row>
    <row r="226" spans="1:5" x14ac:dyDescent="0.2">
      <c r="A226">
        <v>27.867250723209349</v>
      </c>
      <c r="B226">
        <f>VLOOKUP([1]!表1[[#This Row],[room_temperature+]],[1]Sheet1!$A$1:$E$295,2,0)</f>
        <v>2.79570215094492E-2</v>
      </c>
      <c r="C226">
        <f>VLOOKUP([1]!表1[[#This Row],[room_temperature+]],[1]Sheet1!$A$1:$E$295,3,0)</f>
        <v>5.9057184448721427E-2</v>
      </c>
      <c r="D226">
        <f>VLOOKUP([1]!表1[[#This Row],[room_temperature+]],[1]Sheet1!$A$1:$E$295,4,0)</f>
        <v>3.110016293927223E-2</v>
      </c>
      <c r="E226">
        <f>VLOOKUP([1]!表1[[#This Row],[room_temperature+]],[1]Sheet1!$A$1:$E$295,5,0)</f>
        <v>766.6186666666664</v>
      </c>
    </row>
    <row r="227" spans="1:5" x14ac:dyDescent="0.2">
      <c r="A227">
        <v>27.86918625970409</v>
      </c>
      <c r="B227">
        <f>VLOOKUP([1]!表1[[#This Row],[room_temperature+]],[1]Sheet1!$A$1:$E$295,2,0)</f>
        <v>4.7243619611493058E-2</v>
      </c>
      <c r="C227">
        <f>VLOOKUP([1]!表1[[#This Row],[room_temperature+]],[1]Sheet1!$A$1:$E$295,3,0)</f>
        <v>2.3981457559206339E-2</v>
      </c>
      <c r="D227">
        <f>VLOOKUP([1]!表1[[#This Row],[room_temperature+]],[1]Sheet1!$A$1:$E$295,4,0)</f>
        <v>-2.326216205228672E-2</v>
      </c>
      <c r="E227">
        <f>VLOOKUP([1]!表1[[#This Row],[room_temperature+]],[1]Sheet1!$A$1:$E$295,5,0)</f>
        <v>234.90000000000009</v>
      </c>
    </row>
    <row r="228" spans="1:5" x14ac:dyDescent="0.2">
      <c r="A228">
        <v>27.875261256625102</v>
      </c>
      <c r="B228">
        <f>VLOOKUP([1]!表1[[#This Row],[room_temperature+]],[1]Sheet1!$A$1:$E$295,2,0)</f>
        <v>3.4063778721314032E-2</v>
      </c>
      <c r="C228">
        <f>VLOOKUP([1]!表1[[#This Row],[room_temperature+]],[1]Sheet1!$A$1:$E$295,3,0)</f>
        <v>4.941327689272243E-2</v>
      </c>
      <c r="D228">
        <f>VLOOKUP([1]!表1[[#This Row],[room_temperature+]],[1]Sheet1!$A$1:$E$295,4,0)</f>
        <v>1.5349498171408399E-2</v>
      </c>
      <c r="E228">
        <f>VLOOKUP([1]!表1[[#This Row],[room_temperature+]],[1]Sheet1!$A$1:$E$295,5,0)</f>
        <v>573.01333333333321</v>
      </c>
    </row>
    <row r="229" spans="1:5" x14ac:dyDescent="0.2">
      <c r="A229">
        <v>27.893376393725781</v>
      </c>
      <c r="B229">
        <f>VLOOKUP([1]!表1[[#This Row],[room_temperature+]],[1]Sheet1!$A$1:$E$295,2,0)</f>
        <v>2.4746671183801309E-2</v>
      </c>
      <c r="C229">
        <f>VLOOKUP([1]!表1[[#This Row],[room_temperature+]],[1]Sheet1!$A$1:$E$295,3,0)</f>
        <v>5.6650479855940593E-2</v>
      </c>
      <c r="D229">
        <f>VLOOKUP([1]!表1[[#This Row],[room_temperature+]],[1]Sheet1!$A$1:$E$295,4,0)</f>
        <v>3.1903808672139281E-2</v>
      </c>
      <c r="E229">
        <f>VLOOKUP([1]!表1[[#This Row],[room_temperature+]],[1]Sheet1!$A$1:$E$295,5,0)</f>
        <v>431.0079999999997</v>
      </c>
    </row>
    <row r="230" spans="1:5" x14ac:dyDescent="0.2">
      <c r="A230">
        <v>27.896254902346119</v>
      </c>
      <c r="B230">
        <f>VLOOKUP([1]!表1[[#This Row],[room_temperature+]],[1]Sheet1!$A$1:$E$295,2,0)</f>
        <v>8.1290592109789506E-3</v>
      </c>
      <c r="C230">
        <f>VLOOKUP([1]!表1[[#This Row],[room_temperature+]],[1]Sheet1!$A$1:$E$295,3,0)</f>
        <v>1.948963190491227E-2</v>
      </c>
      <c r="D230">
        <f>VLOOKUP([1]!表1[[#This Row],[room_temperature+]],[1]Sheet1!$A$1:$E$295,4,0)</f>
        <v>1.136057269393332E-2</v>
      </c>
      <c r="E230">
        <f>VLOOKUP([1]!表1[[#This Row],[room_temperature+]],[1]Sheet1!$A$1:$E$295,5,0)</f>
        <v>232.38</v>
      </c>
    </row>
    <row r="231" spans="1:5" x14ac:dyDescent="0.2">
      <c r="A231">
        <v>27.905760762903981</v>
      </c>
      <c r="B231">
        <f>VLOOKUP([1]!表1[[#This Row],[room_temperature+]],[1]Sheet1!$A$1:$E$295,2,0)</f>
        <v>5.0956058945730409E-2</v>
      </c>
      <c r="C231">
        <f>VLOOKUP([1]!表1[[#This Row],[room_temperature+]],[1]Sheet1!$A$1:$E$295,3,0)</f>
        <v>6.4437659339834891E-2</v>
      </c>
      <c r="D231">
        <f>VLOOKUP([1]!表1[[#This Row],[room_temperature+]],[1]Sheet1!$A$1:$E$295,4,0)</f>
        <v>1.348160039410448E-2</v>
      </c>
      <c r="E231">
        <f>VLOOKUP([1]!表1[[#This Row],[room_temperature+]],[1]Sheet1!$A$1:$E$295,5,0)</f>
        <v>767.90733333333333</v>
      </c>
    </row>
    <row r="232" spans="1:5" x14ac:dyDescent="0.2">
      <c r="A232">
        <v>27.910173599562711</v>
      </c>
      <c r="B232">
        <f>VLOOKUP([1]!表1[[#This Row],[room_temperature+]],[1]Sheet1!$A$1:$E$295,2,0)</f>
        <v>2.884207611811606E-2</v>
      </c>
      <c r="C232">
        <f>VLOOKUP([1]!表1[[#This Row],[room_temperature+]],[1]Sheet1!$A$1:$E$295,3,0)</f>
        <v>6.0845209565065748E-2</v>
      </c>
      <c r="D232">
        <f>VLOOKUP([1]!表1[[#This Row],[room_temperature+]],[1]Sheet1!$A$1:$E$295,4,0)</f>
        <v>3.2003133446949689E-2</v>
      </c>
      <c r="E232">
        <f>VLOOKUP([1]!表1[[#This Row],[room_temperature+]],[1]Sheet1!$A$1:$E$295,5,0)</f>
        <v>766.5533333333334</v>
      </c>
    </row>
    <row r="233" spans="1:5" x14ac:dyDescent="0.2">
      <c r="A233">
        <v>27.956769164682811</v>
      </c>
      <c r="B233">
        <f>VLOOKUP([1]!表1[[#This Row],[room_temperature+]],[1]Sheet1!$A$1:$E$295,2,0)</f>
        <v>2.6042667060424331E-2</v>
      </c>
      <c r="C233">
        <f>VLOOKUP([1]!表1[[#This Row],[room_temperature+]],[1]Sheet1!$A$1:$E$295,3,0)</f>
        <v>4.9277436599321142E-2</v>
      </c>
      <c r="D233">
        <f>VLOOKUP([1]!表1[[#This Row],[room_temperature+]],[1]Sheet1!$A$1:$E$295,4,0)</f>
        <v>2.3234769538896811E-2</v>
      </c>
      <c r="E233">
        <f>VLOOKUP([1]!表1[[#This Row],[room_temperature+]],[1]Sheet1!$A$1:$E$295,5,0)</f>
        <v>862.68000000000006</v>
      </c>
    </row>
    <row r="234" spans="1:5" x14ac:dyDescent="0.2">
      <c r="A234">
        <v>27.958853815061708</v>
      </c>
      <c r="B234">
        <f>VLOOKUP([1]!表1[[#This Row],[room_temperature+]],[1]Sheet1!$A$1:$E$295,2,0)</f>
        <v>4.1899400794462839E-2</v>
      </c>
      <c r="C234">
        <f>VLOOKUP([1]!表1[[#This Row],[room_temperature+]],[1]Sheet1!$A$1:$E$295,3,0)</f>
        <v>5.1147007209562702E-2</v>
      </c>
      <c r="D234">
        <f>VLOOKUP([1]!表1[[#This Row],[room_temperature+]],[1]Sheet1!$A$1:$E$295,4,0)</f>
        <v>9.2476064150998627E-3</v>
      </c>
      <c r="E234">
        <f>VLOOKUP([1]!表1[[#This Row],[room_temperature+]],[1]Sheet1!$A$1:$E$295,5,0)</f>
        <v>589.0086666666665</v>
      </c>
    </row>
    <row r="235" spans="1:5" x14ac:dyDescent="0.2">
      <c r="A235">
        <v>27.985658461950521</v>
      </c>
      <c r="B235">
        <f>VLOOKUP([1]!表1[[#This Row],[room_temperature+]],[1]Sheet1!$A$1:$E$295,2,0)</f>
        <v>4.144742420580981E-2</v>
      </c>
      <c r="C235">
        <f>VLOOKUP([1]!表1[[#This Row],[room_temperature+]],[1]Sheet1!$A$1:$E$295,3,0)</f>
        <v>5.0988272699433249E-2</v>
      </c>
      <c r="D235">
        <f>VLOOKUP([1]!表1[[#This Row],[room_temperature+]],[1]Sheet1!$A$1:$E$295,4,0)</f>
        <v>9.5408484936234383E-3</v>
      </c>
      <c r="E235">
        <f>VLOOKUP([1]!表1[[#This Row],[room_temperature+]],[1]Sheet1!$A$1:$E$295,5,0)</f>
        <v>503.64333333333332</v>
      </c>
    </row>
    <row r="236" spans="1:5" x14ac:dyDescent="0.2">
      <c r="A236">
        <v>28.024037757521182</v>
      </c>
      <c r="B236">
        <f>VLOOKUP([1]!表1[[#This Row],[room_temperature+]],[1]Sheet1!$A$1:$E$295,2,0)</f>
        <v>3.092562867435196E-2</v>
      </c>
      <c r="C236">
        <f>VLOOKUP([1]!表1[[#This Row],[room_temperature+]],[1]Sheet1!$A$1:$E$295,3,0)</f>
        <v>6.4454186420970644E-2</v>
      </c>
      <c r="D236">
        <f>VLOOKUP([1]!表1[[#This Row],[room_temperature+]],[1]Sheet1!$A$1:$E$295,4,0)</f>
        <v>3.3528557746618677E-2</v>
      </c>
      <c r="E236">
        <f>VLOOKUP([1]!表1[[#This Row],[room_temperature+]],[1]Sheet1!$A$1:$E$295,5,0)</f>
        <v>766.68399999999951</v>
      </c>
    </row>
    <row r="237" spans="1:5" x14ac:dyDescent="0.2">
      <c r="A237">
        <v>28.077196779440371</v>
      </c>
      <c r="B237">
        <f>VLOOKUP([1]!表1[[#This Row],[room_temperature+]],[1]Sheet1!$A$1:$E$295,2,0)</f>
        <v>1.1750010925691501E-2</v>
      </c>
      <c r="C237">
        <f>VLOOKUP([1]!表1[[#This Row],[room_temperature+]],[1]Sheet1!$A$1:$E$295,3,0)</f>
        <v>2.111854234078147E-2</v>
      </c>
      <c r="D237">
        <f>VLOOKUP([1]!表1[[#This Row],[room_temperature+]],[1]Sheet1!$A$1:$E$295,4,0)</f>
        <v>9.3685314150899722E-3</v>
      </c>
      <c r="E237">
        <f>VLOOKUP([1]!表1[[#This Row],[room_temperature+]],[1]Sheet1!$A$1:$E$295,5,0)</f>
        <v>348.98599999999999</v>
      </c>
    </row>
    <row r="238" spans="1:5" x14ac:dyDescent="0.2">
      <c r="A238">
        <v>28.07890502423686</v>
      </c>
      <c r="B238">
        <f>VLOOKUP([1]!表1[[#This Row],[room_temperature+]],[1]Sheet1!$A$1:$E$295,2,0)</f>
        <v>5.5946505815190228E-2</v>
      </c>
      <c r="C238">
        <f>VLOOKUP([1]!表1[[#This Row],[room_temperature+]],[1]Sheet1!$A$1:$E$295,3,0)</f>
        <v>6.9860985004955786E-2</v>
      </c>
      <c r="D238">
        <f>VLOOKUP([1]!表1[[#This Row],[room_temperature+]],[1]Sheet1!$A$1:$E$295,4,0)</f>
        <v>1.391447918976556E-2</v>
      </c>
      <c r="E238">
        <f>VLOOKUP([1]!表1[[#This Row],[room_temperature+]],[1]Sheet1!$A$1:$E$295,5,0)</f>
        <v>768.11666666666679</v>
      </c>
    </row>
    <row r="239" spans="1:5" x14ac:dyDescent="0.2">
      <c r="A239">
        <v>28.145161529069469</v>
      </c>
      <c r="B239">
        <f>VLOOKUP([1]!表1[[#This Row],[room_temperature+]],[1]Sheet1!$A$1:$E$295,2,0)</f>
        <v>4.8435112553279112E-2</v>
      </c>
      <c r="C239">
        <f>VLOOKUP([1]!表1[[#This Row],[room_temperature+]],[1]Sheet1!$A$1:$E$295,3,0)</f>
        <v>6.2008664489394592E-2</v>
      </c>
      <c r="D239">
        <f>VLOOKUP([1]!表1[[#This Row],[room_temperature+]],[1]Sheet1!$A$1:$E$295,4,0)</f>
        <v>1.357355193611549E-2</v>
      </c>
      <c r="E239">
        <f>VLOOKUP([1]!表1[[#This Row],[room_temperature+]],[1]Sheet1!$A$1:$E$295,5,0)</f>
        <v>501.33466666666652</v>
      </c>
    </row>
    <row r="240" spans="1:5" x14ac:dyDescent="0.2">
      <c r="A240">
        <v>28.184415450533159</v>
      </c>
      <c r="B240">
        <f>VLOOKUP([1]!表1[[#This Row],[room_temperature+]],[1]Sheet1!$A$1:$E$295,2,0)</f>
        <v>1.389563711890507E-2</v>
      </c>
      <c r="C240">
        <f>VLOOKUP([1]!表1[[#This Row],[room_temperature+]],[1]Sheet1!$A$1:$E$295,3,0)</f>
        <v>2.4053136537640581E-2</v>
      </c>
      <c r="D240">
        <f>VLOOKUP([1]!表1[[#This Row],[room_temperature+]],[1]Sheet1!$A$1:$E$295,4,0)</f>
        <v>1.015749941873551E-2</v>
      </c>
      <c r="E240">
        <f>VLOOKUP([1]!表1[[#This Row],[room_temperature+]],[1]Sheet1!$A$1:$E$295,5,0)</f>
        <v>671.66133333333289</v>
      </c>
    </row>
    <row r="241" spans="1:5" x14ac:dyDescent="0.2">
      <c r="A241">
        <v>28.198170100726099</v>
      </c>
      <c r="B241">
        <f>VLOOKUP([1]!表1[[#This Row],[room_temperature+]],[1]Sheet1!$A$1:$E$295,2,0)</f>
        <v>4.2299879000643352E-2</v>
      </c>
      <c r="C241">
        <f>VLOOKUP([1]!表1[[#This Row],[room_temperature+]],[1]Sheet1!$A$1:$E$295,3,0)</f>
        <v>5.7016151144593581E-2</v>
      </c>
      <c r="D241">
        <f>VLOOKUP([1]!表1[[#This Row],[room_temperature+]],[1]Sheet1!$A$1:$E$295,4,0)</f>
        <v>1.471627214395024E-2</v>
      </c>
      <c r="E241">
        <f>VLOOKUP([1]!表1[[#This Row],[room_temperature+]],[1]Sheet1!$A$1:$E$295,5,0)</f>
        <v>660.53666666666663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cui</dc:creator>
  <cp:lastModifiedBy>xiao cui</cp:lastModifiedBy>
  <dcterms:created xsi:type="dcterms:W3CDTF">2015-06-05T18:19:34Z</dcterms:created>
  <dcterms:modified xsi:type="dcterms:W3CDTF">2026-03-30T16:45:34Z</dcterms:modified>
</cp:coreProperties>
</file>